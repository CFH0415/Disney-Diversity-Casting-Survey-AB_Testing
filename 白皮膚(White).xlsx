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ter organization" sheetId="1" r:id="rId5"/>
    <sheet state="visible" name="Questions" sheetId="2" r:id="rId6"/>
    <sheet state="visible" name="Original" sheetId="3" r:id="rId7"/>
    <sheet state="visible" name="invaild" sheetId="4" r:id="rId8"/>
  </sheets>
  <definedNames/>
  <calcPr/>
</workbook>
</file>

<file path=xl/sharedStrings.xml><?xml version="1.0" encoding="utf-8"?>
<sst xmlns="http://schemas.openxmlformats.org/spreadsheetml/2006/main" count="6368" uniqueCount="527">
  <si>
    <t>Q1</t>
  </si>
  <si>
    <t>Q2</t>
  </si>
  <si>
    <t>Q3-1</t>
  </si>
  <si>
    <t>Q3-2</t>
  </si>
  <si>
    <t>Q3-3</t>
  </si>
  <si>
    <t>Q3-4</t>
  </si>
  <si>
    <t>Q3-5</t>
  </si>
  <si>
    <t>Q3-6</t>
  </si>
  <si>
    <t>Q4-1</t>
  </si>
  <si>
    <t>Q4-2</t>
  </si>
  <si>
    <t>Q4-3</t>
  </si>
  <si>
    <t>Q4-4</t>
  </si>
  <si>
    <t>Q4-5</t>
  </si>
  <si>
    <t>Q4-6</t>
  </si>
  <si>
    <t>Q5</t>
  </si>
  <si>
    <t>Q6-1</t>
  </si>
  <si>
    <t>Q6-2</t>
  </si>
  <si>
    <t>Q6-3</t>
  </si>
  <si>
    <t>時間戳記</t>
  </si>
  <si>
    <t>這是您第一次填寫這份問卷嗎？
Is this your first time to fill out this questionnaire?</t>
  </si>
  <si>
    <t>您有看過迪士尼電影嗎？
Have you ever watched Disney movies?</t>
  </si>
  <si>
    <t xml:space="preserve">-5 觀看意願最低，+5 觀看意願最高 
-5 indicates the lowest willingness, while +5 indicates the highest willingness </t>
  </si>
  <si>
    <t>您有注意到迪士尼電影或卡通的選角越來越多元化嗎？
Have you ever noticed that Disney's film casting has been featuring more diverse ethnicities?</t>
  </si>
  <si>
    <t xml:space="preserve">我完全接受「 迪士尼的選角多樣性 」
I would fully accept the casting diversity of Disney characters.   </t>
  </si>
  <si>
    <t>如果有辦法的話，我會拒絕「迪士尼的選角多樣性」
If there was some way to do it, I would resist casting diversity of Disney characters.</t>
  </si>
  <si>
    <t>「迪士尼的選角多樣性」使我感到沮喪
Casting diversity of Disney characters would upset me.</t>
  </si>
  <si>
    <t>「迪士尼的選角多樣性」 可以做得更好
Casting diversity of Disney characters would probably be for the better.</t>
  </si>
  <si>
    <t>「迪士尼的多樣化選角」使我更願意為迪士尼電影消費
Casting diversity of Disney characters makes me more willing to spend money on Disney movies.</t>
  </si>
  <si>
    <t>請問上面這張圖片多大程度符合您過去對於《小美人魚》的印象？
Thinking about your past impressions of “The Little Mermaid” cartoons, how would you rate the matching extent of your expectation and this picture?</t>
  </si>
  <si>
    <t>看到這位演員擔任《小美人魚》的主角會讓我感到不適
Seeing this woman be casted as the main character would upset me.</t>
  </si>
  <si>
    <t>看到這張照片，會讓我想要與親友討論這部迪士尼電影
Seeing this picture would make me talk with friends and family about the Disney movie.</t>
  </si>
  <si>
    <t xml:space="preserve">看到這張照片，會讓我更願意觀看《小美人魚》的真人版電影
Seeing this picture makes me more willing to watch "The Little Mermaid" live-action movies.
</t>
  </si>
  <si>
    <t xml:space="preserve">看到這張照片，會讓我更願意為《小美人魚》的真人版電影消費
Seeing this picture makes me more willing to spend money on "The Little Mermaid" live-action movies.
</t>
  </si>
  <si>
    <t>看到這張照片，會讓我更願意在社群上為《小美人魚》的真人版電影按讚
Seeing this picture makes me more likely to Like "The Little Mermaid" live-action movies on social media.</t>
  </si>
  <si>
    <t>Top1 factor
(最大的影響因素 The first influencing factor)</t>
  </si>
  <si>
    <t>Top2 factor
(第二影響因素 The second influencing factor)</t>
  </si>
  <si>
    <t>Top3 factor
(第三影響因素 The third influencing factor)</t>
  </si>
  <si>
    <r>
      <rPr>
        <rFont val="Arial"/>
        <color theme="1"/>
      </rPr>
      <t>閱讀這些</t>
    </r>
    <r>
      <rPr>
        <rFont val="Arial"/>
        <b/>
        <color theme="1"/>
      </rPr>
      <t>正面</t>
    </r>
    <r>
      <rPr>
        <rFont val="Arial"/>
        <color theme="1"/>
      </rPr>
      <t xml:space="preserve">評論後，您對於觀看《小美人魚》真人版電影的意願如何？
After you read these </t>
    </r>
    <r>
      <rPr>
        <rFont val="Arial"/>
        <b/>
        <color theme="1"/>
      </rPr>
      <t>positive</t>
    </r>
    <r>
      <rPr>
        <rFont val="Arial"/>
        <color theme="1"/>
      </rPr>
      <t xml:space="preserve"> comments, how would you rate your willingness to watch “The Little Mermaid” live-action movie?</t>
    </r>
  </si>
  <si>
    <r>
      <rPr>
        <rFont val="Arial"/>
        <color theme="1"/>
      </rPr>
      <t>閱讀這些</t>
    </r>
    <r>
      <rPr>
        <rFont val="Arial"/>
        <b/>
        <color theme="1"/>
      </rPr>
      <t>負面較多</t>
    </r>
    <r>
      <rPr>
        <rFont val="Arial"/>
        <color theme="1"/>
      </rPr>
      <t xml:space="preserve">評論後，您對於觀看《小美人魚》真人版電影的意願如何？
After you read these </t>
    </r>
    <r>
      <rPr>
        <rFont val="Arial"/>
        <b/>
        <color theme="1"/>
      </rPr>
      <t>more negative</t>
    </r>
    <r>
      <rPr>
        <rFont val="Arial"/>
        <color theme="1"/>
      </rPr>
      <t xml:space="preserve"> comments, how would you rate your willingness to watch “The Little Mermaid” live-action movie?</t>
    </r>
  </si>
  <si>
    <r>
      <rPr>
        <rFont val="Arial"/>
        <color theme="1"/>
      </rPr>
      <t>承上題，看完以上留言後，選擇此分數的</t>
    </r>
    <r>
      <rPr>
        <rFont val="Arial"/>
        <b/>
        <color theme="1"/>
      </rPr>
      <t>最主要</t>
    </r>
    <r>
      <rPr>
        <rFont val="Arial"/>
        <color theme="1"/>
      </rPr>
      <t xml:space="preserve">原因為何？
Following the above, what is the </t>
    </r>
    <r>
      <rPr>
        <rFont val="Arial"/>
        <b/>
        <color theme="1"/>
      </rPr>
      <t>main reason</t>
    </r>
    <r>
      <rPr>
        <rFont val="Arial"/>
        <color theme="1"/>
      </rPr>
      <t xml:space="preserve"> you choose this score after reading comments?</t>
    </r>
  </si>
  <si>
    <r>
      <rPr>
        <rFont val="Arial"/>
        <color theme="1"/>
      </rPr>
      <t>承上題，看完以上留言後，選擇此分數的</t>
    </r>
    <r>
      <rPr>
        <rFont val="Arial"/>
        <b/>
        <color theme="1"/>
      </rPr>
      <t>最主要</t>
    </r>
    <r>
      <rPr>
        <rFont val="Arial"/>
        <color theme="1"/>
      </rPr>
      <t xml:space="preserve">原因為何？
Following the above, what is the </t>
    </r>
    <r>
      <rPr>
        <rFont val="Arial"/>
        <b/>
        <color theme="1"/>
      </rPr>
      <t>main reason</t>
    </r>
    <r>
      <rPr>
        <rFont val="Arial"/>
        <color theme="1"/>
      </rPr>
      <t xml:space="preserve"> you choose this score after reading comments?</t>
    </r>
  </si>
  <si>
    <t xml:space="preserve">我完全接受「迪士尼的選角多樣性」
I would fully accept the casting diversity of Disney characters.   </t>
  </si>
  <si>
    <t>「迪士尼的選角多樣性」可以做得更好
Casting diversity of Disney characters would probably be for the better.</t>
  </si>
  <si>
    <t>Top1 factor
(最大的影響因素 The biggest influencing factor)</t>
  </si>
  <si>
    <t>我會事先觀察別人對電影的評價，再決定是否要觀看
I would observe others' reviews of the movie beforehand before deciding whether to watch it or not.</t>
  </si>
  <si>
    <r>
      <rPr>
        <rFont val="Arial"/>
        <color theme="1"/>
      </rPr>
      <t>閱讀這些</t>
    </r>
    <r>
      <rPr>
        <rFont val="Arial"/>
        <b/>
        <color theme="1"/>
      </rPr>
      <t>負面較多</t>
    </r>
    <r>
      <rPr>
        <rFont val="Arial"/>
        <color theme="1"/>
      </rPr>
      <t xml:space="preserve">評論後，您對於觀看《小美人魚》真人版電影的意願如何？
After you read these </t>
    </r>
    <r>
      <rPr>
        <rFont val="Arial"/>
        <b/>
        <color theme="1"/>
      </rPr>
      <t>more negative</t>
    </r>
    <r>
      <rPr>
        <rFont val="Arial"/>
        <color theme="1"/>
      </rPr>
      <t xml:space="preserve"> comments, how would you rate your willingness to watch “The Little Mermaid” live-action movie?</t>
    </r>
  </si>
  <si>
    <t>Q1: 請問您幾歲？
What is your age?</t>
  </si>
  <si>
    <t>Q2: 您的生理性別
What is your gender?</t>
  </si>
  <si>
    <t>Q3: 您的國籍
What is your nationality?</t>
  </si>
  <si>
    <t>Q4: 您的最高學歷
What is the highest level of education you have achieved?</t>
  </si>
  <si>
    <t>Q5: 最常使用的社群軟體
Most frequently used social media platform</t>
  </si>
  <si>
    <t>Q6: 您的常用信箱
Your Email address</t>
  </si>
  <si>
    <t>謝謝您填答這份問卷，有什麼回饋或建議嗎？
Thank you for completing this questionnaire. Do you have any feedback or suggestions?</t>
  </si>
  <si>
    <t>是 Yes</t>
  </si>
  <si>
    <t>+3</t>
  </si>
  <si>
    <t>原著卡通的還原度 How matches with the original cartoon</t>
  </si>
  <si>
    <t>演員的天賦（如：唱歌）Actor/actress’s talent(e.g. singing)</t>
  </si>
  <si>
    <t>網路聲量/口碑 Word of mouth</t>
  </si>
  <si>
    <t>留言降低我的興趣 Comments decrease my interest.</t>
  </si>
  <si>
    <t>男性 Male</t>
  </si>
  <si>
    <t>台灣</t>
  </si>
  <si>
    <t>大學/專科 Bachelor degree</t>
  </si>
  <si>
    <t>Twitter, Facebook, Instagram</t>
  </si>
  <si>
    <t>gibson121123@gmail.com</t>
  </si>
  <si>
    <t>原著劇情 Original story plot</t>
  </si>
  <si>
    <t>+2</t>
  </si>
  <si>
    <t>我同意留言的觀點 I agree with viewpoint in comments</t>
  </si>
  <si>
    <t>女性 Female</t>
  </si>
  <si>
    <t>臺灣</t>
  </si>
  <si>
    <t>Instagram</t>
  </si>
  <si>
    <t>a102032212@gmail.com</t>
  </si>
  <si>
    <t>加油⛽️</t>
  </si>
  <si>
    <t>+1</t>
  </si>
  <si>
    <t>想支持迪士尼的改變 Would like to support  Disney's changes</t>
  </si>
  <si>
    <t>Dcard, Facebook, Instagram, TikTok</t>
  </si>
  <si>
    <t>lololo22207@gmail.com</t>
  </si>
  <si>
    <t>很棒</t>
  </si>
  <si>
    <t>留言激起我的好奇 Comments arouse my curiosity</t>
  </si>
  <si>
    <t>Dcard, Facebook, Instagram</t>
  </si>
  <si>
    <t>ynps0420@gmail.com</t>
  </si>
  <si>
    <t>我認為選角不適合 The casting is not suitable</t>
  </si>
  <si>
    <t>Twitter, Dcard, Instagram</t>
  </si>
  <si>
    <t>rachel092212@gmail.com</t>
  </si>
  <si>
    <t>演員的美貌 Actor/actress’s beauty</t>
  </si>
  <si>
    <t>teng963852741@gmail.com</t>
  </si>
  <si>
    <t>+4</t>
  </si>
  <si>
    <t>親友推薦 Recommendations from friends</t>
  </si>
  <si>
    <t>I don’t care what the foment says</t>
  </si>
  <si>
    <t>German</t>
  </si>
  <si>
    <t>map.stein2000@googlemail.com</t>
  </si>
  <si>
    <t xml:space="preserve">
</t>
  </si>
  <si>
    <t>111509318@g.nccu.edu.tw</t>
  </si>
  <si>
    <t>演員的知名度 Actor/actress’s reputation</t>
  </si>
  <si>
    <t>Facebook, Instagram</t>
  </si>
  <si>
    <t>111752026@nccu.edu.tw</t>
  </si>
  <si>
    <t>Dcard, Facebook</t>
  </si>
  <si>
    <t>sandrachien0810@gmail.com</t>
  </si>
  <si>
    <t>否 No</t>
  </si>
  <si>
    <t>中華民國</t>
  </si>
  <si>
    <t>Dcard, Instagram</t>
  </si>
  <si>
    <t>alli551617@gmail.com</t>
  </si>
  <si>
    <t>我從來不觀看迪士尼電影 I never watch Disney movie</t>
  </si>
  <si>
    <t>我不喜歡迪士尼電影 I don't like Disney movie</t>
  </si>
  <si>
    <t>ng153240@gmail.com</t>
  </si>
  <si>
    <t>+5</t>
  </si>
  <si>
    <t>Facebook</t>
  </si>
  <si>
    <t>Jack570927@gmail.com</t>
  </si>
  <si>
    <t>演員的膚色 Actor/actress’s skin color</t>
  </si>
  <si>
    <t>想支持主角 Would like to support the main character</t>
  </si>
  <si>
    <t>高中 High school</t>
  </si>
  <si>
    <t>PTT, Facebook, Instagram</t>
  </si>
  <si>
    <t>joihl329@gmail.com</t>
  </si>
  <si>
    <t>中獎</t>
  </si>
  <si>
    <t>演員的才華 Actor/actress's talent</t>
  </si>
  <si>
    <t>930823oepiwe@gmail.com</t>
  </si>
  <si>
    <t>yfes40328@gmail.com</t>
  </si>
  <si>
    <t>跟隨潮流/很多人喜歡 Following the trend/liked by many people</t>
  </si>
  <si>
    <t>hsu1746@gmail.com</t>
  </si>
  <si>
    <t>sougo1314520@gmail.com</t>
  </si>
  <si>
    <t>公主與青蛙不算是最近的作品吧？要舉例的話MOANA和ENCANDO才是近年較有話題的多元族群動畫電影？還是因為不夠黑？</t>
  </si>
  <si>
    <t>Taiwan</t>
  </si>
  <si>
    <t>crt920518@gmail.com</t>
  </si>
  <si>
    <t>ROC</t>
  </si>
  <si>
    <t>catherine890926@gmail.com</t>
  </si>
  <si>
    <t>etwwh2001@gmail.com</t>
  </si>
  <si>
    <t>Dcard, PTT, Facebook, Instagram</t>
  </si>
  <si>
    <t>eatice99@yahoo.com.tw</t>
  </si>
  <si>
    <t>sayanoyuki@yahoo.com.tw</t>
  </si>
  <si>
    <t xml:space="preserve">110601069@g.nccu.edu.tw </t>
  </si>
  <si>
    <t>無</t>
  </si>
  <si>
    <t>我本來就對小美人魚的劇情沒特別有興趣</t>
  </si>
  <si>
    <t>Angela.kerai@gmail.com</t>
  </si>
  <si>
    <t>eugene.wug@gmail.com</t>
  </si>
  <si>
    <t>oreoamy55677@gmail.com</t>
  </si>
  <si>
    <t>4B1D0060@stust.edu.tw</t>
  </si>
  <si>
    <t>kailee7712@gmail.com</t>
  </si>
  <si>
    <t xml:space="preserve">tyngsyuan0401@gmail.com </t>
  </si>
  <si>
    <t xml:space="preserve">Taiwan </t>
  </si>
  <si>
    <t>Twitter, Dcard, Facebook, Instagram</t>
  </si>
  <si>
    <t>mako900801@gmail.com</t>
  </si>
  <si>
    <t>研究所及以上 Master degree or above</t>
  </si>
  <si>
    <t>shinwushen@gmail.com</t>
  </si>
  <si>
    <t>candynofood@gmail.com</t>
  </si>
  <si>
    <t>chnuhsz@gmail.com</t>
  </si>
  <si>
    <t>110205041@g.nccu.edu.tw</t>
  </si>
  <si>
    <t>ponghappy23@gmail.com</t>
  </si>
  <si>
    <t>Vivian 1016tw@gmail.com</t>
  </si>
  <si>
    <t>㊗️研究順利</t>
  </si>
  <si>
    <t>110405036@nccu.edu.tw</t>
  </si>
  <si>
    <t>cherrysu4141@gmail.com</t>
  </si>
  <si>
    <t>a80021616@gmail.com</t>
  </si>
  <si>
    <t>Twitter, Dcard, PTT, Facebook, Instagram</t>
  </si>
  <si>
    <t>sylvia.mimi2003@gmail.com</t>
  </si>
  <si>
    <t>huuh16082@gmail.com</t>
  </si>
  <si>
    <t>Korea</t>
  </si>
  <si>
    <t xml:space="preserve">jongseo1040@gmail.com </t>
  </si>
  <si>
    <t>rickamy1010@gmail.com</t>
  </si>
  <si>
    <t>omg4604@gmail.com</t>
  </si>
  <si>
    <t>辛苦啦～加油！</t>
  </si>
  <si>
    <t>CHINA</t>
  </si>
  <si>
    <t>Instagram, TikTok</t>
  </si>
  <si>
    <t>eassy_97@naver.vom</t>
  </si>
  <si>
    <t>South Korea</t>
  </si>
  <si>
    <t>yeahinku@korea.ac.kr</t>
  </si>
  <si>
    <t>.</t>
  </si>
  <si>
    <t>jessie1003123@gmail.com</t>
  </si>
  <si>
    <t>Republic of Korea</t>
  </si>
  <si>
    <t>hyunseo1138@khu.ac.kr</t>
  </si>
  <si>
    <t>born in 1997</t>
  </si>
  <si>
    <t>isaackis@gmail.com</t>
  </si>
  <si>
    <t>from -5 ~ +5 if you had 0 with the meaning of not sure it would have sounded nice</t>
  </si>
  <si>
    <t>Reddit, Dcard, PTT, Facebook, Instagram</t>
  </si>
  <si>
    <t>Pass</t>
  </si>
  <si>
    <t>a2614511@gmail.com</t>
  </si>
  <si>
    <t>kevin0910034789@gmail.com</t>
  </si>
  <si>
    <t>zoelin910713@gmail.com</t>
  </si>
  <si>
    <t>N</t>
  </si>
  <si>
    <t>vup900801@gmail.con</t>
  </si>
  <si>
    <t xml:space="preserve">lin1596@mail.chimei.com.tw </t>
  </si>
  <si>
    <t>michellechu584@gmail.com</t>
  </si>
  <si>
    <t>weilihsu1007@gmail.com</t>
  </si>
  <si>
    <t>emily900407@gmail.com</t>
  </si>
  <si>
    <t>這份表單做得不錯</t>
  </si>
  <si>
    <t>111103041@g.Nccu.edu.tw</t>
  </si>
  <si>
    <t>-</t>
  </si>
  <si>
    <t>很多人不喜歡 Many people don't like it</t>
  </si>
  <si>
    <t>60216cindy@gmail.com</t>
  </si>
  <si>
    <t>中國</t>
  </si>
  <si>
    <t>xflin_2002@yahoo.com.tw</t>
  </si>
  <si>
    <t xml:space="preserve">e6c666@gmail.com </t>
  </si>
  <si>
    <t xml:space="preserve">vivi0975952696@gmail.com </t>
  </si>
  <si>
    <t>munstamb0521@gmail.com</t>
  </si>
  <si>
    <t>chenirene199@gmail.com</t>
  </si>
  <si>
    <t>Twitter, Instagram</t>
  </si>
  <si>
    <t>sophora22s@gmail.com</t>
  </si>
  <si>
    <t>evan26102117@gmail.com</t>
  </si>
  <si>
    <t>j3682137@gmail.com</t>
  </si>
  <si>
    <t>jenny417063@gmail.com</t>
  </si>
  <si>
    <t>辛苦了～</t>
  </si>
  <si>
    <t>twu33292@gmail.com</t>
  </si>
  <si>
    <t>jaen0714@yahoo.com.tw</t>
  </si>
  <si>
    <t>sponge371@gmail.com</t>
  </si>
  <si>
    <t xml:space="preserve">linst2001@gmail.com </t>
  </si>
  <si>
    <t>love30966@yahoo.com.tw</t>
  </si>
  <si>
    <t>110501018@nccu.edu.tw</t>
  </si>
  <si>
    <t>jessie920726@gmail.com</t>
  </si>
  <si>
    <t>409381283@gapp.fju.edu.tw</t>
  </si>
  <si>
    <t>奕筑加油～</t>
  </si>
  <si>
    <t>b0931343663@gmail.com</t>
  </si>
  <si>
    <t>a43</t>
  </si>
  <si>
    <t>ivy.ycyeh@gmail.com</t>
  </si>
  <si>
    <t>chloelai2016@gmail.com</t>
  </si>
  <si>
    <t>舉例美女與野獸雖然找白人女主，但是該演員擅長炒作蹭熱度風評極差，就算妝造符合卡通也沒有用</t>
  </si>
  <si>
    <t>bread0810@khu.ac.kr</t>
  </si>
  <si>
    <t>ykjhart1024@gmail.com</t>
  </si>
  <si>
    <t>xiaosese602@gmail.com</t>
  </si>
  <si>
    <t>kaohsigang@gmail.com</t>
  </si>
  <si>
    <t>個人不想看主要是選角問題沒錯，但並非是因為膚色，就單純是覺得跟原著差太多(可能是選角沒有小美人魚的感覺)，若要有選角多樣性，可以另外拍關於那個角色的電影就好</t>
  </si>
  <si>
    <t>polly001211@gmail.com</t>
  </si>
  <si>
    <t>p503172000@gmail.com</t>
  </si>
  <si>
    <t>抽獎留給學弟妹～別抽我</t>
  </si>
  <si>
    <t>不足夠吸引人讓我想花錢去電影院看這部電影</t>
  </si>
  <si>
    <t>Dcard, Facebook, Instagram, Line</t>
  </si>
  <si>
    <t>111206006@g.nccu.edu.tw</t>
  </si>
  <si>
    <t>air40047071@gmail.com</t>
  </si>
  <si>
    <t>Facebook, Instagram, TikTok</t>
  </si>
  <si>
    <t xml:space="preserve">evalin432@gmail.com </t>
  </si>
  <si>
    <t>robe89100@gmail.com</t>
  </si>
  <si>
    <t>crikeycrikey@gmail.com</t>
  </si>
  <si>
    <t>很棒又有趣的研究題目！</t>
  </si>
  <si>
    <t>111206008@g.nccu.edu.tw</t>
  </si>
  <si>
    <t>silly.120407@gmail.com</t>
  </si>
  <si>
    <t>無，加油！</t>
  </si>
  <si>
    <t>franklin63592051@gmail.com</t>
  </si>
  <si>
    <t>nyyakis@yahoo.com.tw</t>
  </si>
  <si>
    <t>susan24681@yahoo.com.tw</t>
  </si>
  <si>
    <t>deepblue139@gmail.com</t>
  </si>
  <si>
    <t>saeld159@yahoo.com.tw</t>
  </si>
  <si>
    <t>我只管我想不想看</t>
  </si>
  <si>
    <t>台湾</t>
  </si>
  <si>
    <t>a7190503@gmail.com</t>
  </si>
  <si>
    <t>yianlai66@gmail.com</t>
  </si>
  <si>
    <t>cindysu511018@gmail.com</t>
  </si>
  <si>
    <t>108305033@g.nccu.edu.tw</t>
  </si>
  <si>
    <t>loiszhenyu@gmail.com</t>
  </si>
  <si>
    <t>bear60@tn.edu.tw</t>
  </si>
  <si>
    <t>Nah</t>
  </si>
  <si>
    <t>不想透露 Unwilling to disclose</t>
  </si>
  <si>
    <t>wangms0120@naver.com</t>
  </si>
  <si>
    <t>X</t>
  </si>
  <si>
    <t xml:space="preserve">441024C003@gms.ndhu.edu.tw </t>
  </si>
  <si>
    <t>希望中獎</t>
  </si>
  <si>
    <t>anniekuo222@gmail.com</t>
  </si>
  <si>
    <t>fengchiawen0808@gmail.com</t>
  </si>
  <si>
    <t>Persian</t>
  </si>
  <si>
    <t>Reddit, Twitter, Instagram</t>
  </si>
  <si>
    <t xml:space="preserve">camellia.aghabeick@gmail.com </t>
  </si>
  <si>
    <t>No</t>
  </si>
  <si>
    <t>allylin1020@gmail.com</t>
  </si>
  <si>
    <t>Iraq</t>
  </si>
  <si>
    <t>Facebook, Instagram, TikTok, Snapchat</t>
  </si>
  <si>
    <t>Moamel802@gmail.com</t>
  </si>
  <si>
    <t>c3830754001@yahoo.com.tw</t>
  </si>
  <si>
    <t>Chile</t>
  </si>
  <si>
    <t>Instagram, Snapchat, WhatsApp</t>
  </si>
  <si>
    <t>maurodesruelles@gmail.com</t>
  </si>
  <si>
    <t>Im not disagree with diversity cast. Im disagree with the radical change of the cast from the original story. For example i will never watch a Superman movie where the actor and the story doesn't match with the original Superman Story on comics</t>
  </si>
  <si>
    <t>eva7500022@gmail.com</t>
  </si>
  <si>
    <t>N/A</t>
  </si>
  <si>
    <t>Facebook, Instagram, Snapchat</t>
  </si>
  <si>
    <t>josedaniellozano22603@gmail.com</t>
  </si>
  <si>
    <t xml:space="preserve">Id watch the movie if i wanted to watch it because other people's opinions would be irrelevant.  Id have to watch it myself to form my own opinion </t>
  </si>
  <si>
    <t xml:space="preserve">British </t>
  </si>
  <si>
    <t xml:space="preserve">Bobbyclaydon888@gmail.com </t>
  </si>
  <si>
    <t xml:space="preserve">It was a pretty spectacular questionnaire with many questions to keep people entertained </t>
  </si>
  <si>
    <t>sara212928@gmail.com</t>
  </si>
  <si>
    <t>lydia881223@yahoo.com.tw</t>
  </si>
  <si>
    <t>annie019096@gmail.com</t>
  </si>
  <si>
    <t>祝在學校的一切順利(⁎⁍̴̛ᴗ⁍̴̛⁎)</t>
  </si>
  <si>
    <t>line</t>
  </si>
  <si>
    <t>txf19602002@gmail.com</t>
  </si>
  <si>
    <t>peter6617594@gmail.com</t>
  </si>
  <si>
    <t>非二元性別 Nonbinary</t>
  </si>
  <si>
    <t>x</t>
  </si>
  <si>
    <t>kangaroo826@gmail.com</t>
  </si>
  <si>
    <t>benson940180@gmail.com</t>
  </si>
  <si>
    <t>讚👍</t>
  </si>
  <si>
    <t>nw622634@gmail.com</t>
  </si>
  <si>
    <t>辛苦了</t>
  </si>
  <si>
    <t>janesweet54132@gmail.com</t>
  </si>
  <si>
    <t>花錢看真人迪士尼電影感覺很浪費，因為最後都會上串流平台</t>
  </si>
  <si>
    <t>108203046@g.nccu.edu.tw</t>
  </si>
  <si>
    <t>j19930523c@gmail.com</t>
  </si>
  <si>
    <t>baibai78978@gmail.com</t>
  </si>
  <si>
    <t>90213a903399@gmail.com</t>
  </si>
  <si>
    <t>Irish</t>
  </si>
  <si>
    <t>aoife1.darcy@gmail.com</t>
  </si>
  <si>
    <t>Canadian</t>
  </si>
  <si>
    <t>Reddit, Twitter, Facebook, Instagram, TikTok</t>
  </si>
  <si>
    <t>marylee@gmail.com</t>
  </si>
  <si>
    <t>#NotMyAriel</t>
  </si>
  <si>
    <t>love_311382@yahoo.com.tw</t>
  </si>
  <si>
    <t>NO</t>
  </si>
  <si>
    <t>110509107@g.nccu.edu.tw</t>
  </si>
  <si>
    <t>lishuang98102@gmail.com</t>
  </si>
  <si>
    <t>Swedish 🇸🇪</t>
  </si>
  <si>
    <t>Reddit, Twitter, TikTok</t>
  </si>
  <si>
    <t xml:space="preserve">gencsadikaj10@gmail.com </t>
  </si>
  <si>
    <t>👍</t>
  </si>
  <si>
    <t>Twitter, Dcard, Instagram, TikTok</t>
  </si>
  <si>
    <t>haung950815@gmail.com</t>
  </si>
  <si>
    <t>zxc6820782@gmail.com</t>
  </si>
  <si>
    <t>Jiaye418@gmail.com</t>
  </si>
  <si>
    <t>shamy900310@gmail.com</t>
  </si>
  <si>
    <t>gillya0928@yahoo.com.tw</t>
  </si>
  <si>
    <t>題目太多</t>
  </si>
  <si>
    <t>sinsin31303@gmail.com</t>
  </si>
  <si>
    <t>j3186ster@gmail.com</t>
  </si>
  <si>
    <t>edisonfu08@gmail.com</t>
  </si>
  <si>
    <t>whatever.nothing@hotmail.com</t>
  </si>
  <si>
    <t>可以放一些預告片</t>
  </si>
  <si>
    <t>108601056@g.nccu.edu.tw</t>
  </si>
  <si>
    <t>minyun3010@gmail.com</t>
  </si>
  <si>
    <t>link915@naver.com</t>
  </si>
  <si>
    <t>xixilan616@gmail.com</t>
  </si>
  <si>
    <t>我不喜歡這個演員 I don't like the actor/actress</t>
  </si>
  <si>
    <t>Reddit, Twitter, Facebook, Instagram</t>
  </si>
  <si>
    <t>chiung56@ms13.hinet.net</t>
  </si>
  <si>
    <t>wangrecons@yahoo.com.tw</t>
  </si>
  <si>
    <t xml:space="preserve">gjkm251020@gmail.com </t>
  </si>
  <si>
    <t>Instagram, Youtube</t>
  </si>
  <si>
    <t xml:space="preserve">  </t>
  </si>
  <si>
    <t>😀</t>
  </si>
  <si>
    <t>Dcard</t>
  </si>
  <si>
    <t xml:space="preserve">s108103027@mail1.ncnu.edu.tw </t>
  </si>
  <si>
    <t>Twitter</t>
  </si>
  <si>
    <t xml:space="preserve">ychsiao24@gmail.com </t>
  </si>
  <si>
    <t>PTT</t>
  </si>
  <si>
    <t xml:space="preserve">yjxiao524@gmail.com </t>
  </si>
  <si>
    <t>910730@gm.tntcsh.tan.edu.tw</t>
  </si>
  <si>
    <t xml:space="preserve">South Korea </t>
  </si>
  <si>
    <t>ajm9908@naver.com</t>
  </si>
  <si>
    <t>tiffanychen530@gmail.com</t>
  </si>
  <si>
    <t>superjackytsai@gmail.com</t>
  </si>
  <si>
    <t>Corea</t>
  </si>
  <si>
    <t>dynasty07@naver.com</t>
  </si>
  <si>
    <t>kelly860912young@gmail.com</t>
  </si>
  <si>
    <t>主角激起我的好奇心</t>
  </si>
  <si>
    <t>你猜啊</t>
  </si>
  <si>
    <t>vickyshinj171746@gmail.com</t>
  </si>
  <si>
    <t>R.O.C 中華民國</t>
  </si>
  <si>
    <t xml:space="preserve">a0970815813@gmail.com </t>
  </si>
  <si>
    <t>PTT, Instagram</t>
  </si>
  <si>
    <t>john97095@gmail.com</t>
  </si>
  <si>
    <t>Reddit, Twitter, Dcard, Facebook, Instagram, TikTok</t>
  </si>
  <si>
    <t>Nope</t>
  </si>
  <si>
    <t>辛苦了 期末加油！</t>
  </si>
  <si>
    <t>107305004@nccu.edu.tw</t>
  </si>
  <si>
    <t>linqusee@gmail.com</t>
  </si>
  <si>
    <t>109304050@nccu.edu.tw</t>
  </si>
  <si>
    <t xml:space="preserve">France </t>
  </si>
  <si>
    <t>azeleroux@gmail.com</t>
  </si>
  <si>
    <t xml:space="preserve">Just a quick note, I think Disney is doing too much in terms of « inclusivity », and it’s more for the image rather then actually focus on the actor’s talent, so even if I don’t mind the fact that the live action character looks different then the cartoon, I feel like the Disney company isn’t really good in terms of ethics </t>
  </si>
  <si>
    <t>德國</t>
  </si>
  <si>
    <t>lisaminelly@gmx.de</t>
  </si>
  <si>
    <t>no</t>
  </si>
  <si>
    <t xml:space="preserve">French </t>
  </si>
  <si>
    <t>spxrklyrainbow@gmail.com</t>
  </si>
  <si>
    <t>還是對於他是真人演覺得有點奇怪</t>
  </si>
  <si>
    <t>a90042193@gmail.com</t>
  </si>
  <si>
    <t>研究加油～</t>
  </si>
  <si>
    <t>qazzecd@gmail.com</t>
  </si>
  <si>
    <t>不用！感謝～～</t>
  </si>
  <si>
    <t>Instagram, kakaotalk</t>
  </si>
  <si>
    <t>Kyungnghee Univ. Fighting</t>
  </si>
  <si>
    <t>spplef6316@gmail.com</t>
  </si>
  <si>
    <t>lan920109@gmail.com</t>
  </si>
  <si>
    <t>沒tag好友，純粹覺得問卷有趣幫忙填</t>
  </si>
  <si>
    <t>cho122023@gmail.com</t>
  </si>
  <si>
    <t>h34116941@gs.ncku.edu.tw</t>
  </si>
  <si>
    <t xml:space="preserve">American </t>
  </si>
  <si>
    <t>Instagram, TikTok, Snapchat</t>
  </si>
  <si>
    <t xml:space="preserve">111103105@nccu.edu.tw </t>
  </si>
  <si>
    <t>oliviachu0828@gmail.com</t>
  </si>
  <si>
    <t>sharon4032022@gmail.com</t>
  </si>
  <si>
    <t>drumlc1024@gmail.com</t>
  </si>
  <si>
    <t>ankechang1793@gmail.com</t>
  </si>
  <si>
    <t>c109118238@nkust.edu.tw</t>
  </si>
  <si>
    <t>中華民國/台灣/ROC</t>
  </si>
  <si>
    <t>uharu0914@gmail.com</t>
  </si>
  <si>
    <t>111701023@nccu.edu.tw</t>
  </si>
  <si>
    <t>ROK</t>
  </si>
  <si>
    <t>tashi7@naver.com</t>
  </si>
  <si>
    <t>judypomelo@gmail.com</t>
  </si>
  <si>
    <t>alison123.lucky@gmail.com</t>
  </si>
  <si>
    <t>mm510031@gmail.com</t>
  </si>
  <si>
    <t>yyssk1004@naver.com</t>
  </si>
  <si>
    <t>1128106ana@gmail.com</t>
  </si>
  <si>
    <t>109207404@nccu.edu.tw</t>
  </si>
  <si>
    <t>40117cindy@gmail.com</t>
  </si>
  <si>
    <t>無 辛苦了</t>
  </si>
  <si>
    <t>111304012@g.nccu.edu.tw</t>
  </si>
  <si>
    <t>英國人</t>
  </si>
  <si>
    <t>Twitter, Instagram, TikTok</t>
  </si>
  <si>
    <t>Bethanye90@gmail.com</t>
  </si>
  <si>
    <t>ycteng18@gmail.com</t>
  </si>
  <si>
    <t>111102040@g.nccu.edu.tw</t>
  </si>
  <si>
    <t>Subject</t>
  </si>
  <si>
    <t>Chiness Questions</t>
  </si>
  <si>
    <t>English Questions</t>
  </si>
  <si>
    <t>Scales</t>
  </si>
  <si>
    <t>Reference</t>
  </si>
  <si>
    <t>Year</t>
  </si>
  <si>
    <t>Author</t>
  </si>
  <si>
    <t>Journal name</t>
  </si>
  <si>
    <t>Construct(Original questions)</t>
  </si>
  <si>
    <t>您有看過迪士尼電影嗎？</t>
  </si>
  <si>
    <t>Have you ever watched Disney movies?</t>
  </si>
  <si>
    <t>yes=1/no=0</t>
  </si>
  <si>
    <t>---------</t>
  </si>
  <si>
    <t>Pre-test 
-&gt;Used for Q6-2</t>
  </si>
  <si>
    <t>當您得知華特迪士尼公司要拍攝真人版《小美人魚》電影時，您有多大的意願觀看這部電影呢？</t>
  </si>
  <si>
    <t>When you saw the announcement that The Walt Disney Company is going to film a live-action movie of "The Little Mermaid'', how would you rate your willingness to watch the movie?</t>
  </si>
  <si>
    <t>-1~-5
+1~+5</t>
  </si>
  <si>
    <t>Diverse casting</t>
  </si>
  <si>
    <t>Acceptence of diverse casting</t>
  </si>
  <si>
    <t>您有注意到迪士尼電影或卡通的選角越來越多元化嗎？</t>
  </si>
  <si>
    <t>Have you ever noticed that Disney's film casting has been featuring more diverse ethnicities?</t>
  </si>
  <si>
    <t>我完全接受「 迪士尼的選角多樣性 」</t>
  </si>
  <si>
    <t>I would fully accept the casting diversity of Disney characters.</t>
  </si>
  <si>
    <t>1~5</t>
  </si>
  <si>
    <t>Attitude Toward The Organization’s Repositioning</t>
  </si>
  <si>
    <t>1. I would fully accept this change. (r)
2. If there was some way to do it, I would resist this change.
3. This type of change would upset me.
4. This type of change would probably be for the better. (r)</t>
  </si>
  <si>
    <t>如果有辦法的話，我會拒絕「迪士尼的選角多樣性」</t>
  </si>
  <si>
    <t>If there was some way to do it, I would resist casting diversity of Disney characters.</t>
  </si>
  <si>
    <t>Wolter,Jeremy S.</t>
  </si>
  <si>
    <t>「迪士尼的選角多樣性」使我感到沮喪</t>
  </si>
  <si>
    <t>Casting diversity of Disney characters would upset me.</t>
  </si>
  <si>
    <t>「迪士尼的選角多樣性」 可以做得更好</t>
  </si>
  <si>
    <t>Casting diversity of Disney characters would probably be for the better.</t>
  </si>
  <si>
    <t>「迪士尼的多樣化選角」使我更願意為迪士尼電影消費</t>
  </si>
  <si>
    <t>Casting diversity of Disney characters makes me more willing to spend money on Disney movies.</t>
  </si>
  <si>
    <t>Cleveland, Mark, Maria Kalamas, and Michel Laroche</t>
  </si>
  <si>
    <t>Attitude toward the Ad</t>
  </si>
  <si>
    <t>3. Seeing this ad makes me more willing to contribute my time to _____.</t>
  </si>
  <si>
    <t>"The Little Mermaid" picture</t>
  </si>
  <si>
    <t>H2</t>
  </si>
  <si>
    <t>請問上面這張圖片多大程度符合您過去對於《小美人魚》的印象？</t>
  </si>
  <si>
    <t>Thinking about your past impressions of “The Little Mermaid” cartoons, how would you rate the matching extent of your expectation and this picture?</t>
  </si>
  <si>
    <t>1.Seeing this ad would make me talk with friends and family about the _____.
2.Seeing this ad makes me think that the cause _____ promotes is important.
3.Seeing this ad makes me more willing to contribute my time to _____.
4.Seeing this ad makes me want to volunteer for _____.
5.Seeing this ad makes me more willing to donate money to _____.
6.Seeing this ad makes me more likely to Like _____ on Facebook.</t>
  </si>
  <si>
    <t>看到這位演員擔任《小美人魚》的主角會讓我感到不適</t>
  </si>
  <si>
    <t>Seeing this woman be casted as the main character would upset me</t>
  </si>
  <si>
    <t>H3</t>
  </si>
  <si>
    <t>看到這張照片，會讓我想要與親友討論這部迪士尼電影</t>
  </si>
  <si>
    <t>Seeing this picture would make me talk with friends and family about the Disney movie.</t>
  </si>
  <si>
    <t>Grinstein, Amir and Ann Kronrod</t>
  </si>
  <si>
    <t>看到這張照片，會讓我更願意觀看《小美人魚》的真人版電影</t>
  </si>
  <si>
    <t>Seeing this picture makes me more willing to watch "The Little Mermaid" live-action movies.</t>
  </si>
  <si>
    <t>Mittal, Banwari</t>
  </si>
  <si>
    <t>看到這張照片，會讓我更願意為《小美人魚》的真人版電影消費</t>
  </si>
  <si>
    <t>Seeing this picture makes me more willing to spend money on "The Little Mermaid" live-action movies.</t>
  </si>
  <si>
    <t>看到這張照片，會讓我更願意在社群上為《小美人魚》的真人版電影按讚</t>
  </si>
  <si>
    <t>Seeing this picture makes me more likely to Like "The Little Mermaid" live-action movies on social media.</t>
  </si>
  <si>
    <t>TOP 3 factors that drive you to watch Disney live-action movies</t>
  </si>
  <si>
    <t>Social Comments</t>
  </si>
  <si>
    <t>Pre-test of H4</t>
  </si>
  <si>
    <t>我會事先觀察別人對電影的評價，再決定是否要觀看</t>
  </si>
  <si>
    <t>I would observe others' reviews of the movie beforehand before deciding whether to watch it or not.</t>
  </si>
  <si>
    <t>2017 / 03 / 01</t>
  </si>
  <si>
    <t>傅安弘(An-Hung Fu) ； 賴靜蓉(Ching-Jung Lai) ； 王惠珠(Huei-Ju Wang)</t>
  </si>
  <si>
    <t>Influence of electronic word-of-mouth on conformity with online group-buying of packaged foods</t>
  </si>
  <si>
    <t>b11 我會事先觀察別人對網路團購商品的反應，以決定是否
選購。</t>
  </si>
  <si>
    <t>H4
With Q2</t>
  </si>
  <si>
    <t>閱讀這些評論後，您對於觀看《小美人魚》真人版電影的意願如何？</t>
  </si>
  <si>
    <t>After you read these comments, how would you rate your willingness to watch “The Little Mermaid” live-action movie?</t>
  </si>
  <si>
    <t>承上題，看完以上留言後，選擇此分數的最主要原因為何？</t>
  </si>
  <si>
    <t>Following the above, what is the main reason you choose this score after reading comments?</t>
  </si>
  <si>
    <t>Q1: 您有看過迪士尼電影嗎？
Have you ever watched Disney movies?</t>
  </si>
  <si>
    <t>Q1: 您有注意到迪士尼電影或卡通的選角越來越多元化嗎？
Have you ever noticed that Disney's film casting has been featuring more diverse ethnicities?</t>
  </si>
  <si>
    <t xml:space="preserve">Q2: 我完全接受「 迪士尼的選角多樣性 」
I would fully accept the casting diversity of Disney characters.   </t>
  </si>
  <si>
    <t>Q3: 如果有辦法的話，我會拒絕「迪士尼的選角多樣性」
If there was some way to do it, I would resist casting diversity of Disney characters.</t>
  </si>
  <si>
    <t>Q4: 「迪士尼的選角多樣性」使我感到沮喪
Casting diversity of Disney characters would upset me.</t>
  </si>
  <si>
    <t>Q5:  「迪士尼的選角多樣性」 可以做得更好
Casting diversity of Disney characters would probably be for the better.</t>
  </si>
  <si>
    <t>Q6: 「迪士尼的多樣化選角」使我更願意為迪士尼電影消費
Casting diversity of Disney characters makes me more willing to spend money on Disney movies.</t>
  </si>
  <si>
    <t>Q1: 請問上面這張圖片多大程度符合您過去對於《小美人魚》的印象？
Thinking about your past impressions of “The Little Mermaid” cartoons, how would you rate the matching extent of your expectation and this picture?</t>
  </si>
  <si>
    <t>Q2: 看到這位演員擔任《小美人魚》的主角會讓我感到不適
Seeing this woman be casted as the main character would upset me.</t>
  </si>
  <si>
    <t>Q3: 看到這張照片，會讓我想要與親友討論這部迪士尼電影
Seeing this picture would make me talk with friends and family about the Disney movie.</t>
  </si>
  <si>
    <r>
      <rPr>
        <rFont val="Arial"/>
        <b val="0"/>
        <i val="0"/>
        <color theme="1"/>
      </rPr>
      <t xml:space="preserve">Q4: </t>
    </r>
    <r>
      <rPr>
        <rFont val="Arial"/>
        <color theme="1"/>
      </rPr>
      <t xml:space="preserve">看到這張照片，會讓我更願意觀看《小美人魚》的真人版電影
Seeing this picture makes me more willing to watch "The Little Mermaid" live-action movies.
</t>
    </r>
  </si>
  <si>
    <t xml:space="preserve">Q5: 看到這張照片，會讓我更願意為《小美人魚》的真人版電影消費
Seeing this picture makes me more willing to spend money on "The Little Mermaid" live-action movies.
</t>
  </si>
  <si>
    <r>
      <t>Q6: 看到這張照片，會讓我更願意在社群上為《小美人魚》的真人版電影按讚</t>
    </r>
    <r>
      <rPr>
        <rFont val="Arial"/>
        <b val="0"/>
        <i val="0"/>
        <color theme="1"/>
      </rPr>
      <t xml:space="preserve">
Seeing this picture makes me more likely to Like "The Little Mermaid" live-action movies on social media.</t>
    </r>
  </si>
  <si>
    <t>Q1: 我會事先觀察別人對電影的評價，再決定是否要觀看
I would observe others' reviews of the movie beforehand before deciding whether to watch it or not.</t>
  </si>
  <si>
    <t>Q2: 閱讀這些評論後，您對於觀看《小美人魚》真人版電影的意願如何？
After you read these comments, how would you rate your willingness to watch “The Little Mermaid” live-action movie?</t>
  </si>
  <si>
    <r>
      <t>Q3: 承上題，看完以上留言後，選擇此分數的</t>
    </r>
    <r>
      <rPr>
        <rFont val="Arial"/>
        <b/>
        <color theme="1"/>
      </rPr>
      <t>最主要</t>
    </r>
    <r>
      <rPr>
        <rFont val="Arial"/>
        <color theme="1"/>
      </rPr>
      <t xml:space="preserve">原因為何？
Following the above, what is the </t>
    </r>
    <r>
      <rPr>
        <rFont val="Arial"/>
        <b/>
        <color theme="1"/>
      </rPr>
      <t>main reason</t>
    </r>
    <r>
      <rPr>
        <rFont val="Arial"/>
        <color theme="1"/>
      </rPr>
      <t xml:space="preserve"> you choose this score after reading comments?</t>
    </r>
  </si>
  <si>
    <r>
      <t>Q3: 承上題，看完以上留言後，選擇此分數的</t>
    </r>
    <r>
      <rPr>
        <rFont val="Arial"/>
        <b/>
        <color theme="1"/>
      </rPr>
      <t>最主要</t>
    </r>
    <r>
      <rPr>
        <rFont val="Arial"/>
        <color theme="1"/>
      </rPr>
      <t xml:space="preserve">原因為何？
Following the above, what is the </t>
    </r>
    <r>
      <rPr>
        <rFont val="Arial"/>
        <b/>
        <color theme="1"/>
      </rPr>
      <t>main reason</t>
    </r>
    <r>
      <rPr>
        <rFont val="Arial"/>
        <color theme="1"/>
      </rPr>
      <t xml:space="preserve"> you choose this score after reading comments?</t>
    </r>
  </si>
  <si>
    <t xml:space="preserve">Q2: 我完全接受「迪士尼的選角多樣性」
I would fully accept the casting diversity of Disney characters.   </t>
  </si>
  <si>
    <t>Q4:「迪士尼的選角多樣性」使我感到沮喪
Casting diversity of Disney characters would upset me.</t>
  </si>
  <si>
    <t>Q5:「迪士尼的選角多樣性」可以做得更好
Casting diversity of Disney characters would probably be for the better.</t>
  </si>
  <si>
    <t>Q6:「迪士尼的多樣化選角」使我更願意為迪士尼電影消費
Casting diversity of Disney characters makes me more willing to spend money on Disney movies.</t>
  </si>
  <si>
    <r>
      <rPr>
        <rFont val="Arial"/>
        <b val="0"/>
        <i val="0"/>
        <color theme="1"/>
      </rPr>
      <t xml:space="preserve">Q4: </t>
    </r>
    <r>
      <rPr>
        <rFont val="Arial"/>
        <color theme="1"/>
      </rPr>
      <t xml:space="preserve">看到這張照片，會讓我更願意觀看《小美人魚》的真人版電影
Seeing this picture makes me more willing to watch "The Little Mermaid" live-action movies.
</t>
    </r>
  </si>
  <si>
    <r>
      <rPr>
        <rFont val="Arial"/>
        <b val="0"/>
        <i val="0"/>
        <color theme="1"/>
      </rPr>
      <t>Q6: 看到這張照片，會讓我更願意在社群上</t>
    </r>
    <r>
      <rPr>
        <rFont val="Arial"/>
        <color theme="1"/>
      </rPr>
      <t>為《小美人魚》的真人版電影按讚</t>
    </r>
    <r>
      <rPr>
        <rFont val="Arial"/>
        <b val="0"/>
        <i val="0"/>
        <color theme="1"/>
      </rPr>
      <t xml:space="preserve">
Seeing this picture makes me more likely to Like "The Little Mermaid" live-action movies on social media.</t>
    </r>
  </si>
  <si>
    <t xml:space="preserve">recons11@yahoo.com.tw </t>
  </si>
  <si>
    <t xml:space="preserve">recons111@yahoo.com.tw </t>
  </si>
  <si>
    <t>Japan</t>
  </si>
  <si>
    <t xml:space="preserve">recons1111@yahoo.com.tw </t>
  </si>
  <si>
    <t>Roc</t>
  </si>
  <si>
    <t xml:space="preserve">recons11111@yahoo.com.tw </t>
  </si>
  <si>
    <t>Reddit</t>
  </si>
  <si>
    <t xml:space="preserve">yjtsai12@gmail.com </t>
  </si>
  <si>
    <t xml:space="preserve">yjtsai121@gmail.com </t>
  </si>
  <si>
    <t xml:space="preserve">yjtsai1211@gmail.com </t>
  </si>
  <si>
    <t>PTT, Facebook</t>
  </si>
  <si>
    <t xml:space="preserve">yjtsai12111@gmail.com </t>
  </si>
  <si>
    <t>110307021@g.nccu.edu.tw</t>
  </si>
  <si>
    <t xml:space="preserve">Q4: 看到這張照片，會讓我更願意觀看《小美人魚》的真人版電影
Seeing this picture makes me more willing to watch "The Little Mermaid" live-action movies.
</t>
  </si>
  <si>
    <t>Q6: 看到這張照片，會讓我更願意在社群上為《小美人魚》的真人版電影按讚
Seeing this picture makes me more likely to Like "The Little Mermaid" live-action movies on social media.</t>
  </si>
  <si>
    <t>Q3: 承上題，看完以上留言後，選擇此分數的最主要原因為何？
Following the above, what is the main reason you choose this score after reading comments?</t>
  </si>
  <si>
    <t>Q6:Your Email address</t>
  </si>
  <si>
    <t>Good luck</t>
  </si>
  <si>
    <t>I feel some questions are hard to understand your intention. You can improve it by change some expressions i guess</t>
  </si>
  <si>
    <t>Time</t>
  </si>
  <si>
    <t>Is this your first time to fill out this questionnaire?</t>
  </si>
  <si>
    <t>Q2:When you saw the announcement that The Walt Disney Company is going to film a live-action movie of "The Little Mermaid'', how would you rate your willingness to watch the movie?</t>
  </si>
  <si>
    <t xml:space="preserve">Q3-2
I would fully accept the casting diversity of Disney characters.   </t>
  </si>
  <si>
    <t>Q3-3
If there was some way to do it, I would resist casting diversity of Disney characters.</t>
  </si>
  <si>
    <t>Q3-4:Casting diversity of Disney characters would upset me.</t>
  </si>
  <si>
    <t>Q3-5
Casting diversity of Disney characters would probably be for the better.</t>
  </si>
  <si>
    <t>Q1: What is your age?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</si>
</sst>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trike/>
      <color theme="1"/>
      <name val="Arial"/>
      <scheme val="minor"/>
    </font>
    <font/>
    <font>
      <color rgb="FF000000"/>
      <name val="Arial"/>
    </font>
    <font>
      <sz val="9.0"/>
      <color rgb="FF000000"/>
      <name val="Arial"/>
    </font>
    <font>
      <color rgb="FF000000"/>
      <name val="Arial"/>
      <scheme val="minor"/>
    </font>
    <font>
      <sz val="9.0"/>
      <color rgb="FF000000"/>
      <name val="Arial"/>
      <scheme val="minor"/>
    </font>
    <font>
      <strike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3CDCB"/>
        <bgColor rgb="FFF3CDCB"/>
      </patternFill>
    </fill>
    <fill>
      <patternFill patternType="solid">
        <fgColor rgb="FFFFFFFF"/>
        <bgColor rgb="FFFFFFFF"/>
      </patternFill>
    </fill>
    <fill>
      <patternFill patternType="solid">
        <fgColor rgb="FFF5CBCC"/>
        <bgColor rgb="FFF5CBCC"/>
      </patternFill>
    </fill>
  </fills>
  <borders count="15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2" fontId="1" numFmtId="3" xfId="0" applyAlignment="1" applyFont="1" applyNumberFormat="1">
      <alignment horizontal="center" readingOrder="0"/>
    </xf>
    <xf borderId="1" fillId="2" fontId="2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3" xfId="0" applyAlignment="1" applyFont="1" applyNumberFormat="1">
      <alignment readingOrder="0" vertical="center"/>
    </xf>
    <xf borderId="1" fillId="0" fontId="4" numFmtId="0" xfId="0" applyBorder="1" applyFont="1"/>
    <xf borderId="1" fillId="0" fontId="3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right"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/>
    </xf>
    <xf borderId="1" fillId="0" fontId="4" numFmtId="3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3" xfId="0" applyAlignment="1" applyFont="1" applyNumberFormat="1">
      <alignment readingOrder="0"/>
    </xf>
    <xf borderId="1" fillId="0" fontId="4" numFmtId="0" xfId="0" applyAlignment="1" applyBorder="1" applyFont="1">
      <alignment vertical="bottom"/>
    </xf>
    <xf borderId="1" fillId="0" fontId="3" numFmtId="0" xfId="0" applyBorder="1" applyFont="1"/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3" xfId="0" applyFont="1" applyNumberFormat="1"/>
    <xf borderId="1" fillId="0" fontId="5" numFmtId="0" xfId="0" applyBorder="1" applyFont="1"/>
    <xf borderId="0" fillId="0" fontId="3" numFmtId="3" xfId="0" applyFont="1" applyNumberForma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5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4" fontId="7" numFmtId="0" xfId="0" applyAlignment="1" applyFill="1" applyFont="1">
      <alignment horizontal="left" readingOrder="0" vertical="center"/>
    </xf>
    <xf borderId="6" fillId="0" fontId="3" numFmtId="0" xfId="0" applyAlignment="1" applyBorder="1" applyFont="1">
      <alignment horizontal="center" readingOrder="0" vertical="center"/>
    </xf>
    <xf borderId="7" fillId="0" fontId="6" numFmtId="0" xfId="0" applyBorder="1" applyFont="1"/>
    <xf borderId="8" fillId="0" fontId="6" numFmtId="0" xfId="0" applyBorder="1" applyFont="1"/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/>
    </xf>
    <xf borderId="5" fillId="0" fontId="3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wrapText="1"/>
    </xf>
    <xf borderId="2" fillId="0" fontId="3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readingOrder="0" vertical="center"/>
    </xf>
    <xf borderId="12" fillId="4" fontId="8" numFmtId="0" xfId="0" applyAlignment="1" applyBorder="1" applyFont="1">
      <alignment readingOrder="0" shrinkToFit="0" vertical="center" wrapText="1"/>
    </xf>
    <xf borderId="12" fillId="0" fontId="7" numFmtId="0" xfId="0" applyAlignment="1" applyBorder="1" applyFont="1">
      <alignment readingOrder="0" vertical="center"/>
    </xf>
    <xf borderId="13" fillId="0" fontId="6" numFmtId="0" xfId="0" applyBorder="1" applyFont="1"/>
    <xf borderId="14" fillId="0" fontId="6" numFmtId="0" xfId="0" applyBorder="1" applyFont="1"/>
    <xf borderId="5" fillId="4" fontId="8" numFmtId="0" xfId="0" applyAlignment="1" applyBorder="1" applyFont="1">
      <alignment readingOrder="0" shrinkToFit="0" vertical="center" wrapText="1"/>
    </xf>
    <xf borderId="5" fillId="4" fontId="7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/>
    </xf>
    <xf borderId="5" fillId="0" fontId="7" numFmtId="0" xfId="0" applyBorder="1" applyFont="1"/>
    <xf borderId="0" fillId="0" fontId="7" numFmtId="0" xfId="0" applyAlignment="1" applyFont="1">
      <alignment horizontal="left" readingOrder="0" shrinkToFit="0" vertical="center" wrapText="1"/>
    </xf>
    <xf borderId="5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readingOrder="0"/>
    </xf>
    <xf borderId="0" fillId="4" fontId="7" numFmtId="0" xfId="0" applyAlignment="1" applyFont="1">
      <alignment horizontal="left" readingOrder="0" shrinkToFit="0" vertical="center" wrapText="1"/>
    </xf>
    <xf borderId="2" fillId="0" fontId="7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/>
    </xf>
    <xf borderId="5" fillId="0" fontId="9" numFmtId="0" xfId="0" applyBorder="1" applyFont="1"/>
    <xf borderId="0" fillId="4" fontId="7" numFmtId="0" xfId="0" applyAlignment="1" applyFont="1">
      <alignment horizontal="left" readingOrder="0" shrinkToFit="0" wrapText="1"/>
    </xf>
    <xf borderId="5" fillId="0" fontId="10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readingOrder="0" vertical="center"/>
    </xf>
    <xf borderId="2" fillId="0" fontId="9" numFmtId="0" xfId="0" applyAlignment="1" applyBorder="1" applyFont="1">
      <alignment horizontal="center" readingOrder="0" vertical="center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11" numFmtId="0" xfId="0" applyAlignment="1" applyFont="1">
      <alignment horizontal="right" vertical="bottom"/>
    </xf>
    <xf borderId="0" fillId="2" fontId="4" numFmtId="0" xfId="0" applyAlignment="1" applyFont="1">
      <alignment vertical="top"/>
    </xf>
    <xf borderId="0" fillId="2" fontId="2" numFmtId="0" xfId="0" applyAlignment="1" applyFont="1">
      <alignment horizontal="center" vertical="top"/>
    </xf>
    <xf borderId="0" fillId="5" fontId="2" numFmtId="0" xfId="0" applyAlignment="1" applyFill="1" applyFont="1">
      <alignment horizontal="center" vertical="top"/>
    </xf>
    <xf borderId="0" fillId="2" fontId="2" numFmtId="3" xfId="0" applyAlignment="1" applyFont="1" applyNumberFormat="1">
      <alignment horizontal="center" vertical="top"/>
    </xf>
    <xf borderId="1" fillId="2" fontId="2" numFmtId="0" xfId="0" applyAlignment="1" applyBorder="1" applyFont="1">
      <alignment horizontal="center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4" numFmtId="3" xfId="0" applyAlignment="1" applyFont="1" applyNumberFormat="1">
      <alignment vertical="top"/>
    </xf>
    <xf borderId="1" fillId="0" fontId="4" numFmtId="0" xfId="0" applyAlignment="1" applyBorder="1" applyFont="1">
      <alignment vertical="top"/>
    </xf>
    <xf borderId="0" fillId="0" fontId="4" numFmtId="0" xfId="0" applyAlignment="1" applyFont="1">
      <alignment shrinkToFit="0" vertical="top" wrapText="0"/>
    </xf>
    <xf borderId="0" fillId="0" fontId="3" numFmtId="164" xfId="0" applyAlignment="1" applyFont="1" applyNumberFormat="1">
      <alignment readingOrder="0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2</xdr:row>
      <xdr:rowOff>190500</xdr:rowOff>
    </xdr:from>
    <xdr:ext cx="5457825" cy="2781300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13"/>
    <col customWidth="1" min="2" max="2" width="14.0"/>
    <col customWidth="1" min="3" max="18" width="18.88"/>
    <col customWidth="1" min="19" max="19" width="25.5"/>
    <col customWidth="1" min="20" max="21" width="22.25"/>
    <col customWidth="1" min="22" max="36" width="18.88"/>
    <col customWidth="1" hidden="1" min="37" max="39" width="18.88"/>
    <col customWidth="1" min="40" max="40" width="18.88"/>
    <col customWidth="1" min="41" max="41" width="32.0"/>
    <col customWidth="1" min="42" max="46" width="18.88"/>
    <col customWidth="1" min="47" max="47" width="32.0"/>
    <col customWidth="1" min="48" max="54" width="18.88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2" t="s">
        <v>14</v>
      </c>
      <c r="T1" s="2" t="s">
        <v>15</v>
      </c>
      <c r="U1" s="4" t="s">
        <v>16</v>
      </c>
      <c r="V1" s="5" t="s">
        <v>16</v>
      </c>
      <c r="W1" s="2" t="s">
        <v>17</v>
      </c>
      <c r="X1" s="2" t="s">
        <v>17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3" t="s">
        <v>8</v>
      </c>
      <c r="AF1" s="3" t="s">
        <v>9</v>
      </c>
      <c r="AG1" s="3" t="s">
        <v>10</v>
      </c>
      <c r="AH1" s="3" t="s">
        <v>11</v>
      </c>
      <c r="AI1" s="3" t="s">
        <v>12</v>
      </c>
      <c r="AJ1" s="3" t="s">
        <v>13</v>
      </c>
      <c r="AK1" s="2" t="s">
        <v>14</v>
      </c>
      <c r="AN1" s="2" t="s">
        <v>15</v>
      </c>
      <c r="AO1" s="6" t="s">
        <v>16</v>
      </c>
      <c r="AP1" s="1"/>
      <c r="AQ1" s="1"/>
      <c r="AR1" s="1"/>
      <c r="AS1" s="1"/>
      <c r="AT1" s="1"/>
      <c r="AU1" s="1"/>
      <c r="AV1" s="1"/>
      <c r="AW1" s="7"/>
      <c r="AX1" s="7"/>
      <c r="AY1" s="7"/>
      <c r="AZ1" s="7"/>
      <c r="BA1" s="7"/>
      <c r="BB1" s="7"/>
    </row>
    <row r="2">
      <c r="A2" s="8" t="s">
        <v>18</v>
      </c>
      <c r="B2" s="8" t="s">
        <v>19</v>
      </c>
      <c r="C2" s="9" t="s">
        <v>20</v>
      </c>
      <c r="D2" s="8" t="s">
        <v>21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26</v>
      </c>
      <c r="J2" s="9" t="s">
        <v>27</v>
      </c>
      <c r="K2" s="9" t="s">
        <v>28</v>
      </c>
      <c r="L2" s="9" t="s">
        <v>29</v>
      </c>
      <c r="M2" s="9" t="s">
        <v>30</v>
      </c>
      <c r="N2" s="9" t="s">
        <v>31</v>
      </c>
      <c r="O2" s="9" t="s">
        <v>32</v>
      </c>
      <c r="P2" s="9" t="s">
        <v>33</v>
      </c>
      <c r="Q2" s="8" t="s">
        <v>34</v>
      </c>
      <c r="R2" s="8" t="s">
        <v>35</v>
      </c>
      <c r="S2" s="8" t="s">
        <v>36</v>
      </c>
      <c r="T2" s="9"/>
      <c r="U2" s="10" t="s">
        <v>37</v>
      </c>
      <c r="V2" s="11" t="s">
        <v>38</v>
      </c>
      <c r="W2" s="9" t="s">
        <v>39</v>
      </c>
      <c r="X2" s="9" t="s">
        <v>40</v>
      </c>
      <c r="Y2" s="9" t="s">
        <v>22</v>
      </c>
      <c r="Z2" s="9" t="s">
        <v>41</v>
      </c>
      <c r="AA2" s="9" t="s">
        <v>24</v>
      </c>
      <c r="AB2" s="9" t="s">
        <v>25</v>
      </c>
      <c r="AC2" s="9" t="s">
        <v>42</v>
      </c>
      <c r="AD2" s="9" t="s">
        <v>27</v>
      </c>
      <c r="AE2" s="9" t="s">
        <v>28</v>
      </c>
      <c r="AF2" s="9" t="s">
        <v>29</v>
      </c>
      <c r="AG2" s="9" t="s">
        <v>30</v>
      </c>
      <c r="AH2" s="9" t="s">
        <v>31</v>
      </c>
      <c r="AI2" s="9" t="s">
        <v>32</v>
      </c>
      <c r="AJ2" s="9" t="s">
        <v>33</v>
      </c>
      <c r="AK2" s="8" t="s">
        <v>43</v>
      </c>
      <c r="AL2" s="8" t="s">
        <v>35</v>
      </c>
      <c r="AM2" s="8" t="s">
        <v>36</v>
      </c>
      <c r="AN2" s="9" t="s">
        <v>44</v>
      </c>
      <c r="AO2" s="12" t="s">
        <v>45</v>
      </c>
      <c r="AP2" s="8" t="s">
        <v>46</v>
      </c>
      <c r="AQ2" s="8" t="s">
        <v>47</v>
      </c>
      <c r="AR2" s="8" t="s">
        <v>48</v>
      </c>
      <c r="AS2" s="8" t="s">
        <v>49</v>
      </c>
      <c r="AT2" s="8" t="s">
        <v>50</v>
      </c>
      <c r="AU2" s="8" t="s">
        <v>51</v>
      </c>
      <c r="AV2" s="8" t="s">
        <v>52</v>
      </c>
      <c r="AW2" s="13"/>
      <c r="AX2" s="13"/>
      <c r="AY2" s="13"/>
      <c r="AZ2" s="13"/>
      <c r="BA2" s="13"/>
      <c r="BB2" s="13"/>
    </row>
    <row r="3">
      <c r="A3" s="14">
        <v>45068.504176863426</v>
      </c>
      <c r="B3" s="15" t="s">
        <v>53</v>
      </c>
      <c r="C3" s="15" t="s">
        <v>53</v>
      </c>
      <c r="D3" s="15" t="s">
        <v>54</v>
      </c>
      <c r="E3" s="15" t="s">
        <v>53</v>
      </c>
      <c r="F3" s="15">
        <v>3.0</v>
      </c>
      <c r="G3" s="15">
        <v>4.0</v>
      </c>
      <c r="H3" s="15">
        <v>4.0</v>
      </c>
      <c r="I3" s="15">
        <v>5.0</v>
      </c>
      <c r="J3" s="15">
        <v>2.0</v>
      </c>
      <c r="K3" s="15">
        <v>4.0</v>
      </c>
      <c r="L3" s="15">
        <v>2.0</v>
      </c>
      <c r="M3" s="15">
        <v>3.0</v>
      </c>
      <c r="N3" s="15">
        <v>4.0</v>
      </c>
      <c r="O3" s="15">
        <v>4.0</v>
      </c>
      <c r="P3" s="15">
        <v>4.0</v>
      </c>
      <c r="Q3" s="15" t="s">
        <v>55</v>
      </c>
      <c r="R3" s="15" t="s">
        <v>56</v>
      </c>
      <c r="S3" s="15" t="s">
        <v>57</v>
      </c>
      <c r="T3" s="16">
        <v>4.0</v>
      </c>
      <c r="U3" s="17">
        <v>-3.0</v>
      </c>
      <c r="V3" s="18">
        <v>-3.0</v>
      </c>
      <c r="W3" s="15" t="s">
        <v>58</v>
      </c>
      <c r="Y3" s="15" t="s">
        <v>53</v>
      </c>
      <c r="Z3" s="15">
        <v>3.0</v>
      </c>
      <c r="AA3" s="15">
        <v>4.0</v>
      </c>
      <c r="AB3" s="15">
        <v>4.0</v>
      </c>
      <c r="AC3" s="15">
        <v>5.0</v>
      </c>
      <c r="AD3" s="15">
        <v>2.0</v>
      </c>
      <c r="AE3" s="15">
        <v>4.0</v>
      </c>
      <c r="AF3" s="15">
        <v>2.0</v>
      </c>
      <c r="AG3" s="15">
        <v>3.0</v>
      </c>
      <c r="AH3" s="15">
        <v>4.0</v>
      </c>
      <c r="AI3" s="15">
        <v>4.0</v>
      </c>
      <c r="AJ3" s="15">
        <v>4.0</v>
      </c>
      <c r="AN3" s="15">
        <v>4.0</v>
      </c>
      <c r="AO3" s="19">
        <v>-3.0</v>
      </c>
      <c r="AP3" s="15">
        <v>21.0</v>
      </c>
      <c r="AQ3" s="15" t="s">
        <v>59</v>
      </c>
      <c r="AR3" s="15" t="s">
        <v>60</v>
      </c>
      <c r="AS3" s="15" t="s">
        <v>61</v>
      </c>
      <c r="AT3" s="15" t="s">
        <v>62</v>
      </c>
      <c r="AU3" s="15" t="s">
        <v>63</v>
      </c>
    </row>
    <row r="4">
      <c r="A4" s="14">
        <v>45068.50647395833</v>
      </c>
      <c r="B4" s="15" t="s">
        <v>53</v>
      </c>
      <c r="C4" s="15" t="s">
        <v>53</v>
      </c>
      <c r="D4" s="15" t="s">
        <v>54</v>
      </c>
      <c r="E4" s="15" t="s">
        <v>53</v>
      </c>
      <c r="F4" s="15">
        <v>4.0</v>
      </c>
      <c r="G4" s="15">
        <v>1.0</v>
      </c>
      <c r="H4" s="15">
        <v>3.0</v>
      </c>
      <c r="I4" s="15">
        <v>5.0</v>
      </c>
      <c r="J4" s="15">
        <v>3.0</v>
      </c>
      <c r="K4" s="15">
        <v>5.0</v>
      </c>
      <c r="L4" s="15">
        <v>2.0</v>
      </c>
      <c r="M4" s="15">
        <v>3.0</v>
      </c>
      <c r="N4" s="15">
        <v>4.0</v>
      </c>
      <c r="O4" s="15">
        <v>4.0</v>
      </c>
      <c r="P4" s="15">
        <v>4.0</v>
      </c>
      <c r="Q4" s="15" t="s">
        <v>55</v>
      </c>
      <c r="R4" s="15" t="s">
        <v>57</v>
      </c>
      <c r="S4" s="15" t="s">
        <v>64</v>
      </c>
      <c r="T4" s="16">
        <v>4.0</v>
      </c>
      <c r="U4" s="20">
        <f>+2</f>
        <v>2</v>
      </c>
      <c r="V4" s="21" t="s">
        <v>65</v>
      </c>
      <c r="X4" s="15" t="s">
        <v>66</v>
      </c>
      <c r="Y4" s="15" t="s">
        <v>53</v>
      </c>
      <c r="Z4" s="15">
        <v>4.0</v>
      </c>
      <c r="AA4" s="15">
        <v>1.0</v>
      </c>
      <c r="AB4" s="15">
        <v>3.0</v>
      </c>
      <c r="AC4" s="15">
        <v>5.0</v>
      </c>
      <c r="AD4" s="15">
        <v>3.0</v>
      </c>
      <c r="AE4" s="15">
        <v>5.0</v>
      </c>
      <c r="AF4" s="15">
        <v>2.0</v>
      </c>
      <c r="AG4" s="15">
        <v>3.0</v>
      </c>
      <c r="AH4" s="15">
        <v>4.0</v>
      </c>
      <c r="AI4" s="15">
        <v>4.0</v>
      </c>
      <c r="AJ4" s="15">
        <v>4.0</v>
      </c>
      <c r="AN4" s="15">
        <v>4.0</v>
      </c>
      <c r="AO4" s="19" t="s">
        <v>65</v>
      </c>
      <c r="AP4" s="15">
        <v>19.0</v>
      </c>
      <c r="AQ4" s="15" t="s">
        <v>67</v>
      </c>
      <c r="AR4" s="15" t="s">
        <v>68</v>
      </c>
      <c r="AS4" s="15" t="s">
        <v>61</v>
      </c>
      <c r="AT4" s="15" t="s">
        <v>69</v>
      </c>
      <c r="AU4" s="15" t="s">
        <v>70</v>
      </c>
      <c r="AV4" s="15" t="s">
        <v>71</v>
      </c>
    </row>
    <row r="5">
      <c r="A5" s="14">
        <v>45068.50838143518</v>
      </c>
      <c r="B5" s="15" t="s">
        <v>53</v>
      </c>
      <c r="C5" s="15" t="s">
        <v>53</v>
      </c>
      <c r="D5" s="15" t="s">
        <v>72</v>
      </c>
      <c r="E5" s="15" t="s">
        <v>53</v>
      </c>
      <c r="F5" s="15">
        <v>5.0</v>
      </c>
      <c r="G5" s="15">
        <v>1.0</v>
      </c>
      <c r="H5" s="15">
        <v>1.0</v>
      </c>
      <c r="I5" s="15">
        <v>4.0</v>
      </c>
      <c r="J5" s="15">
        <v>5.0</v>
      </c>
      <c r="K5" s="15">
        <v>4.0</v>
      </c>
      <c r="L5" s="15">
        <v>2.0</v>
      </c>
      <c r="M5" s="15">
        <v>3.0</v>
      </c>
      <c r="N5" s="15">
        <v>3.0</v>
      </c>
      <c r="O5" s="15">
        <v>3.0</v>
      </c>
      <c r="P5" s="15">
        <v>3.0</v>
      </c>
      <c r="Q5" s="15" t="s">
        <v>55</v>
      </c>
      <c r="R5" s="15" t="s">
        <v>56</v>
      </c>
      <c r="S5" s="15" t="s">
        <v>64</v>
      </c>
      <c r="T5" s="16">
        <v>3.0</v>
      </c>
      <c r="U5" s="20">
        <f>+1</f>
        <v>1</v>
      </c>
      <c r="V5" s="21" t="s">
        <v>72</v>
      </c>
      <c r="X5" s="15" t="s">
        <v>73</v>
      </c>
      <c r="Y5" s="15" t="s">
        <v>53</v>
      </c>
      <c r="Z5" s="15">
        <v>5.0</v>
      </c>
      <c r="AA5" s="15">
        <v>1.0</v>
      </c>
      <c r="AB5" s="15">
        <v>1.0</v>
      </c>
      <c r="AC5" s="15">
        <v>4.0</v>
      </c>
      <c r="AD5" s="15">
        <v>5.0</v>
      </c>
      <c r="AE5" s="15">
        <v>4.0</v>
      </c>
      <c r="AF5" s="15">
        <v>2.0</v>
      </c>
      <c r="AG5" s="15">
        <v>3.0</v>
      </c>
      <c r="AH5" s="15">
        <v>3.0</v>
      </c>
      <c r="AI5" s="15">
        <v>3.0</v>
      </c>
      <c r="AJ5" s="15">
        <v>3.0</v>
      </c>
      <c r="AN5" s="15">
        <v>3.0</v>
      </c>
      <c r="AO5" s="19" t="s">
        <v>72</v>
      </c>
      <c r="AP5" s="15">
        <v>22.0</v>
      </c>
      <c r="AQ5" s="15" t="s">
        <v>59</v>
      </c>
      <c r="AR5" s="15" t="s">
        <v>60</v>
      </c>
      <c r="AS5" s="15" t="s">
        <v>61</v>
      </c>
      <c r="AT5" s="15" t="s">
        <v>74</v>
      </c>
      <c r="AU5" s="15" t="s">
        <v>75</v>
      </c>
      <c r="AV5" s="15" t="s">
        <v>76</v>
      </c>
    </row>
    <row r="6">
      <c r="A6" s="14">
        <v>45068.514971192126</v>
      </c>
      <c r="B6" s="15" t="s">
        <v>53</v>
      </c>
      <c r="C6" s="15" t="s">
        <v>53</v>
      </c>
      <c r="D6" s="15" t="s">
        <v>65</v>
      </c>
      <c r="E6" s="15" t="s">
        <v>53</v>
      </c>
      <c r="F6" s="15">
        <v>3.0</v>
      </c>
      <c r="G6" s="15">
        <v>3.0</v>
      </c>
      <c r="H6" s="15">
        <v>2.0</v>
      </c>
      <c r="I6" s="15">
        <v>4.0</v>
      </c>
      <c r="J6" s="15">
        <v>3.0</v>
      </c>
      <c r="K6" s="15">
        <v>4.0</v>
      </c>
      <c r="L6" s="15">
        <v>2.0</v>
      </c>
      <c r="M6" s="15">
        <v>3.0</v>
      </c>
      <c r="N6" s="15">
        <v>4.0</v>
      </c>
      <c r="O6" s="15">
        <v>4.0</v>
      </c>
      <c r="P6" s="15">
        <v>3.0</v>
      </c>
      <c r="Q6" s="15" t="s">
        <v>56</v>
      </c>
      <c r="R6" s="15" t="s">
        <v>57</v>
      </c>
      <c r="S6" s="15" t="s">
        <v>55</v>
      </c>
      <c r="T6" s="16">
        <v>4.0</v>
      </c>
      <c r="U6" s="20">
        <f>+2</f>
        <v>2</v>
      </c>
      <c r="V6" s="21" t="s">
        <v>65</v>
      </c>
      <c r="X6" s="15" t="s">
        <v>77</v>
      </c>
      <c r="Y6" s="15" t="s">
        <v>53</v>
      </c>
      <c r="Z6" s="15">
        <v>3.0</v>
      </c>
      <c r="AA6" s="15">
        <v>3.0</v>
      </c>
      <c r="AB6" s="15">
        <v>2.0</v>
      </c>
      <c r="AC6" s="15">
        <v>4.0</v>
      </c>
      <c r="AD6" s="15">
        <v>3.0</v>
      </c>
      <c r="AE6" s="15">
        <v>4.0</v>
      </c>
      <c r="AF6" s="15">
        <v>2.0</v>
      </c>
      <c r="AG6" s="15">
        <v>3.0</v>
      </c>
      <c r="AH6" s="15">
        <v>4.0</v>
      </c>
      <c r="AI6" s="15">
        <v>4.0</v>
      </c>
      <c r="AJ6" s="15">
        <v>3.0</v>
      </c>
      <c r="AN6" s="15">
        <v>4.0</v>
      </c>
      <c r="AO6" s="19" t="s">
        <v>65</v>
      </c>
      <c r="AP6" s="15">
        <v>21.0</v>
      </c>
      <c r="AQ6" s="15" t="s">
        <v>67</v>
      </c>
      <c r="AR6" s="15" t="s">
        <v>60</v>
      </c>
      <c r="AS6" s="15" t="s">
        <v>61</v>
      </c>
      <c r="AT6" s="15" t="s">
        <v>78</v>
      </c>
      <c r="AU6" s="15" t="s">
        <v>79</v>
      </c>
    </row>
    <row r="7">
      <c r="A7" s="14">
        <v>45068.52058964121</v>
      </c>
      <c r="B7" s="15" t="s">
        <v>53</v>
      </c>
      <c r="C7" s="15" t="s">
        <v>53</v>
      </c>
      <c r="D7" s="15" t="s">
        <v>54</v>
      </c>
      <c r="E7" s="15" t="s">
        <v>53</v>
      </c>
      <c r="F7" s="15">
        <v>3.0</v>
      </c>
      <c r="G7" s="15">
        <v>2.0</v>
      </c>
      <c r="H7" s="15">
        <v>2.0</v>
      </c>
      <c r="I7" s="15">
        <v>4.0</v>
      </c>
      <c r="J7" s="15">
        <v>3.0</v>
      </c>
      <c r="K7" s="15">
        <v>4.0</v>
      </c>
      <c r="L7" s="15">
        <v>2.0</v>
      </c>
      <c r="M7" s="15">
        <v>3.0</v>
      </c>
      <c r="N7" s="15">
        <v>3.0</v>
      </c>
      <c r="O7" s="15">
        <v>3.0</v>
      </c>
      <c r="P7" s="15">
        <v>3.0</v>
      </c>
      <c r="Q7" s="15" t="s">
        <v>55</v>
      </c>
      <c r="R7" s="15" t="s">
        <v>64</v>
      </c>
      <c r="S7" s="15" t="s">
        <v>57</v>
      </c>
      <c r="T7" s="16">
        <v>4.0</v>
      </c>
      <c r="U7" s="17">
        <v>-1.0</v>
      </c>
      <c r="V7" s="18">
        <v>-1.0</v>
      </c>
      <c r="W7" s="15" t="s">
        <v>80</v>
      </c>
      <c r="Y7" s="15" t="s">
        <v>53</v>
      </c>
      <c r="Z7" s="15">
        <v>3.0</v>
      </c>
      <c r="AA7" s="15">
        <v>2.0</v>
      </c>
      <c r="AB7" s="15">
        <v>2.0</v>
      </c>
      <c r="AC7" s="15">
        <v>4.0</v>
      </c>
      <c r="AD7" s="15">
        <v>3.0</v>
      </c>
      <c r="AE7" s="15">
        <v>4.0</v>
      </c>
      <c r="AF7" s="15">
        <v>2.0</v>
      </c>
      <c r="AG7" s="15">
        <v>3.0</v>
      </c>
      <c r="AH7" s="15">
        <v>3.0</v>
      </c>
      <c r="AI7" s="15">
        <v>3.0</v>
      </c>
      <c r="AJ7" s="15">
        <v>3.0</v>
      </c>
      <c r="AN7" s="15">
        <v>4.0</v>
      </c>
      <c r="AO7" s="19">
        <v>-1.0</v>
      </c>
      <c r="AP7" s="15">
        <v>20.0</v>
      </c>
      <c r="AQ7" s="15" t="s">
        <v>67</v>
      </c>
      <c r="AR7" s="15" t="s">
        <v>60</v>
      </c>
      <c r="AS7" s="15" t="s">
        <v>61</v>
      </c>
      <c r="AT7" s="15" t="s">
        <v>81</v>
      </c>
      <c r="AU7" s="15" t="s">
        <v>82</v>
      </c>
    </row>
    <row r="8">
      <c r="A8" s="14">
        <v>45068.524808912036</v>
      </c>
      <c r="B8" s="15" t="s">
        <v>53</v>
      </c>
      <c r="C8" s="15" t="s">
        <v>53</v>
      </c>
      <c r="D8" s="15" t="s">
        <v>72</v>
      </c>
      <c r="E8" s="15" t="s">
        <v>53</v>
      </c>
      <c r="F8" s="15">
        <v>5.0</v>
      </c>
      <c r="G8" s="15">
        <v>2.0</v>
      </c>
      <c r="H8" s="15">
        <v>2.0</v>
      </c>
      <c r="I8" s="15">
        <v>4.0</v>
      </c>
      <c r="J8" s="15">
        <v>3.0</v>
      </c>
      <c r="K8" s="15">
        <v>4.0</v>
      </c>
      <c r="L8" s="15">
        <v>2.0</v>
      </c>
      <c r="M8" s="15">
        <v>4.0</v>
      </c>
      <c r="N8" s="15">
        <v>3.0</v>
      </c>
      <c r="O8" s="15">
        <v>3.0</v>
      </c>
      <c r="P8" s="15">
        <v>3.0</v>
      </c>
      <c r="Q8" s="15" t="s">
        <v>55</v>
      </c>
      <c r="R8" s="15" t="s">
        <v>83</v>
      </c>
      <c r="S8" s="15" t="s">
        <v>57</v>
      </c>
      <c r="T8" s="16">
        <v>4.0</v>
      </c>
      <c r="U8" s="17">
        <v>-4.0</v>
      </c>
      <c r="V8" s="18">
        <v>-4.0</v>
      </c>
      <c r="W8" s="15" t="s">
        <v>80</v>
      </c>
      <c r="Y8" s="15" t="s">
        <v>53</v>
      </c>
      <c r="Z8" s="15">
        <v>5.0</v>
      </c>
      <c r="AA8" s="15">
        <v>2.0</v>
      </c>
      <c r="AB8" s="15">
        <v>2.0</v>
      </c>
      <c r="AC8" s="15">
        <v>4.0</v>
      </c>
      <c r="AD8" s="15">
        <v>3.0</v>
      </c>
      <c r="AE8" s="15">
        <v>4.0</v>
      </c>
      <c r="AF8" s="15">
        <v>2.0</v>
      </c>
      <c r="AG8" s="15">
        <v>4.0</v>
      </c>
      <c r="AH8" s="15">
        <v>3.0</v>
      </c>
      <c r="AI8" s="15">
        <v>3.0</v>
      </c>
      <c r="AJ8" s="15">
        <v>3.0</v>
      </c>
      <c r="AN8" s="15">
        <v>4.0</v>
      </c>
      <c r="AO8" s="19">
        <v>-4.0</v>
      </c>
      <c r="AP8" s="15">
        <v>19.0</v>
      </c>
      <c r="AQ8" s="15" t="s">
        <v>67</v>
      </c>
      <c r="AR8" s="15" t="s">
        <v>60</v>
      </c>
      <c r="AS8" s="15" t="s">
        <v>61</v>
      </c>
      <c r="AT8" s="15" t="s">
        <v>78</v>
      </c>
      <c r="AU8" s="15" t="s">
        <v>84</v>
      </c>
    </row>
    <row r="9">
      <c r="A9" s="14">
        <v>45068.52560101852</v>
      </c>
      <c r="B9" s="15" t="s">
        <v>53</v>
      </c>
      <c r="C9" s="15" t="s">
        <v>53</v>
      </c>
      <c r="D9" s="15" t="s">
        <v>85</v>
      </c>
      <c r="E9" s="15" t="s">
        <v>53</v>
      </c>
      <c r="F9" s="15">
        <v>5.0</v>
      </c>
      <c r="G9" s="15">
        <v>1.0</v>
      </c>
      <c r="H9" s="15">
        <v>1.0</v>
      </c>
      <c r="I9" s="15">
        <v>5.0</v>
      </c>
      <c r="J9" s="15">
        <v>3.0</v>
      </c>
      <c r="K9" s="15">
        <v>4.0</v>
      </c>
      <c r="L9" s="15">
        <v>1.0</v>
      </c>
      <c r="M9" s="15">
        <v>3.0</v>
      </c>
      <c r="N9" s="15">
        <v>3.0</v>
      </c>
      <c r="O9" s="15">
        <v>3.0</v>
      </c>
      <c r="P9" s="15">
        <v>3.0</v>
      </c>
      <c r="Q9" s="15" t="s">
        <v>64</v>
      </c>
      <c r="R9" s="15" t="s">
        <v>86</v>
      </c>
      <c r="S9" s="15" t="s">
        <v>57</v>
      </c>
      <c r="T9" s="22">
        <v>1.0</v>
      </c>
      <c r="U9" s="20">
        <f>+4</f>
        <v>4</v>
      </c>
      <c r="V9" s="21" t="s">
        <v>85</v>
      </c>
      <c r="X9" s="15" t="s">
        <v>87</v>
      </c>
      <c r="Y9" s="15" t="s">
        <v>53</v>
      </c>
      <c r="Z9" s="15">
        <v>5.0</v>
      </c>
      <c r="AA9" s="15">
        <v>1.0</v>
      </c>
      <c r="AB9" s="15">
        <v>1.0</v>
      </c>
      <c r="AC9" s="15">
        <v>5.0</v>
      </c>
      <c r="AD9" s="15">
        <v>3.0</v>
      </c>
      <c r="AE9" s="15">
        <v>4.0</v>
      </c>
      <c r="AF9" s="15">
        <v>1.0</v>
      </c>
      <c r="AG9" s="15">
        <v>3.0</v>
      </c>
      <c r="AH9" s="15">
        <v>3.0</v>
      </c>
      <c r="AI9" s="15">
        <v>3.0</v>
      </c>
      <c r="AJ9" s="15">
        <v>3.0</v>
      </c>
      <c r="AN9" s="15">
        <v>1.0</v>
      </c>
      <c r="AO9" s="19" t="s">
        <v>85</v>
      </c>
      <c r="AP9" s="15">
        <v>23.0</v>
      </c>
      <c r="AQ9" s="15" t="s">
        <v>67</v>
      </c>
      <c r="AR9" s="15" t="s">
        <v>88</v>
      </c>
      <c r="AS9" s="15" t="s">
        <v>61</v>
      </c>
      <c r="AT9" s="15" t="s">
        <v>69</v>
      </c>
      <c r="AU9" s="15" t="s">
        <v>89</v>
      </c>
      <c r="AV9" s="15" t="s">
        <v>90</v>
      </c>
    </row>
    <row r="10">
      <c r="A10" s="14">
        <v>45068.5295165625</v>
      </c>
      <c r="B10" s="15" t="s">
        <v>53</v>
      </c>
      <c r="C10" s="15" t="s">
        <v>53</v>
      </c>
      <c r="D10" s="15">
        <v>-5.0</v>
      </c>
      <c r="E10" s="15" t="s">
        <v>53</v>
      </c>
      <c r="F10" s="15">
        <v>2.0</v>
      </c>
      <c r="G10" s="15">
        <v>4.0</v>
      </c>
      <c r="H10" s="15">
        <v>5.0</v>
      </c>
      <c r="I10" s="15">
        <v>5.0</v>
      </c>
      <c r="J10" s="15">
        <v>1.0</v>
      </c>
      <c r="K10" s="15">
        <v>4.0</v>
      </c>
      <c r="L10" s="15">
        <v>1.0</v>
      </c>
      <c r="M10" s="15">
        <v>4.0</v>
      </c>
      <c r="N10" s="15">
        <v>4.0</v>
      </c>
      <c r="O10" s="15">
        <v>4.0</v>
      </c>
      <c r="P10" s="15">
        <v>4.0</v>
      </c>
      <c r="Q10" s="15" t="s">
        <v>64</v>
      </c>
      <c r="R10" s="15" t="s">
        <v>83</v>
      </c>
      <c r="S10" s="15" t="s">
        <v>55</v>
      </c>
      <c r="T10" s="23">
        <v>4.0</v>
      </c>
      <c r="U10" s="24">
        <v>-5.0</v>
      </c>
      <c r="V10" s="25"/>
      <c r="W10" s="15" t="s">
        <v>80</v>
      </c>
      <c r="AO10" s="26"/>
      <c r="AP10" s="15">
        <v>19.0</v>
      </c>
      <c r="AQ10" s="15" t="s">
        <v>67</v>
      </c>
      <c r="AR10" s="15" t="s">
        <v>60</v>
      </c>
      <c r="AS10" s="15" t="s">
        <v>61</v>
      </c>
      <c r="AT10" s="15" t="s">
        <v>69</v>
      </c>
      <c r="AU10" s="15" t="s">
        <v>91</v>
      </c>
    </row>
    <row r="11">
      <c r="A11" s="14">
        <v>45068.52952740741</v>
      </c>
      <c r="B11" s="15" t="s">
        <v>53</v>
      </c>
      <c r="C11" s="15" t="s">
        <v>53</v>
      </c>
      <c r="D11" s="15" t="s">
        <v>65</v>
      </c>
      <c r="E11" s="15" t="s">
        <v>53</v>
      </c>
      <c r="F11" s="15">
        <v>2.0</v>
      </c>
      <c r="G11" s="15">
        <v>2.0</v>
      </c>
      <c r="H11" s="15">
        <v>4.0</v>
      </c>
      <c r="I11" s="15">
        <v>5.0</v>
      </c>
      <c r="J11" s="15">
        <v>1.0</v>
      </c>
      <c r="K11" s="15">
        <v>4.0</v>
      </c>
      <c r="L11" s="15">
        <v>1.0</v>
      </c>
      <c r="M11" s="15">
        <v>2.0</v>
      </c>
      <c r="N11" s="15">
        <v>4.0</v>
      </c>
      <c r="O11" s="15">
        <v>3.0</v>
      </c>
      <c r="P11" s="15">
        <v>4.0</v>
      </c>
      <c r="Q11" s="15" t="s">
        <v>92</v>
      </c>
      <c r="R11" s="15" t="s">
        <v>83</v>
      </c>
      <c r="S11" s="15" t="s">
        <v>64</v>
      </c>
      <c r="T11" s="22">
        <v>3.0</v>
      </c>
      <c r="U11" s="17">
        <v>-3.0</v>
      </c>
      <c r="V11" s="18">
        <v>-3.0</v>
      </c>
      <c r="W11" s="15" t="s">
        <v>80</v>
      </c>
      <c r="Y11" s="15" t="s">
        <v>53</v>
      </c>
      <c r="Z11" s="15">
        <v>2.0</v>
      </c>
      <c r="AA11" s="15">
        <v>2.0</v>
      </c>
      <c r="AB11" s="15">
        <v>4.0</v>
      </c>
      <c r="AC11" s="15">
        <v>5.0</v>
      </c>
      <c r="AD11" s="15">
        <v>1.0</v>
      </c>
      <c r="AN11" s="15">
        <v>3.0</v>
      </c>
      <c r="AO11" s="19">
        <v>-3.0</v>
      </c>
      <c r="AP11" s="15">
        <v>22.0</v>
      </c>
      <c r="AQ11" s="15" t="s">
        <v>67</v>
      </c>
      <c r="AR11" s="15" t="s">
        <v>60</v>
      </c>
      <c r="AS11" s="15" t="s">
        <v>61</v>
      </c>
      <c r="AT11" s="15" t="s">
        <v>93</v>
      </c>
      <c r="AU11" s="15" t="s">
        <v>94</v>
      </c>
    </row>
    <row r="12">
      <c r="A12" s="14">
        <v>45068.53302422454</v>
      </c>
      <c r="B12" s="15" t="s">
        <v>53</v>
      </c>
      <c r="C12" s="15" t="s">
        <v>53</v>
      </c>
      <c r="D12" s="15" t="s">
        <v>54</v>
      </c>
      <c r="E12" s="15" t="s">
        <v>53</v>
      </c>
      <c r="F12" s="15">
        <v>3.0</v>
      </c>
      <c r="G12" s="15">
        <v>2.0</v>
      </c>
      <c r="H12" s="15">
        <v>2.0</v>
      </c>
      <c r="I12" s="15">
        <v>3.0</v>
      </c>
      <c r="J12" s="15">
        <v>3.0</v>
      </c>
      <c r="K12" s="15">
        <v>3.0</v>
      </c>
      <c r="L12" s="15">
        <v>3.0</v>
      </c>
      <c r="M12" s="15">
        <v>3.0</v>
      </c>
      <c r="N12" s="15">
        <v>3.0</v>
      </c>
      <c r="O12" s="15">
        <v>3.0</v>
      </c>
      <c r="P12" s="15">
        <v>3.0</v>
      </c>
      <c r="Q12" s="15" t="s">
        <v>64</v>
      </c>
      <c r="R12" s="15" t="s">
        <v>55</v>
      </c>
      <c r="S12" s="15" t="s">
        <v>83</v>
      </c>
      <c r="T12" s="22">
        <v>3.0</v>
      </c>
      <c r="U12" s="20">
        <f>+3</f>
        <v>3</v>
      </c>
      <c r="V12" s="21" t="s">
        <v>54</v>
      </c>
      <c r="X12" s="15" t="s">
        <v>73</v>
      </c>
      <c r="Y12" s="15" t="s">
        <v>53</v>
      </c>
      <c r="Z12" s="15">
        <v>3.0</v>
      </c>
      <c r="AA12" s="15">
        <v>2.0</v>
      </c>
      <c r="AB12" s="15">
        <v>2.0</v>
      </c>
      <c r="AC12" s="15">
        <v>3.0</v>
      </c>
      <c r="AD12" s="15">
        <v>3.0</v>
      </c>
      <c r="AN12" s="15">
        <v>3.0</v>
      </c>
      <c r="AO12" s="19" t="s">
        <v>54</v>
      </c>
      <c r="AP12" s="15">
        <v>22.0</v>
      </c>
      <c r="AQ12" s="15" t="s">
        <v>67</v>
      </c>
      <c r="AR12" s="15" t="s">
        <v>60</v>
      </c>
      <c r="AS12" s="15" t="s">
        <v>61</v>
      </c>
      <c r="AT12" s="15" t="s">
        <v>95</v>
      </c>
      <c r="AU12" s="15" t="s">
        <v>96</v>
      </c>
    </row>
    <row r="13">
      <c r="A13" s="14">
        <v>45068.540843587965</v>
      </c>
      <c r="B13" s="15" t="s">
        <v>53</v>
      </c>
      <c r="C13" s="15" t="s">
        <v>97</v>
      </c>
      <c r="D13" s="15">
        <v>-5.0</v>
      </c>
      <c r="E13" s="15" t="s">
        <v>53</v>
      </c>
      <c r="F13" s="15">
        <v>1.0</v>
      </c>
      <c r="G13" s="15">
        <v>5.0</v>
      </c>
      <c r="H13" s="15">
        <v>5.0</v>
      </c>
      <c r="I13" s="15">
        <v>1.0</v>
      </c>
      <c r="J13" s="15">
        <v>1.0</v>
      </c>
      <c r="K13" s="15">
        <v>5.0</v>
      </c>
      <c r="L13" s="15">
        <v>1.0</v>
      </c>
      <c r="M13" s="15">
        <v>5.0</v>
      </c>
      <c r="N13" s="15">
        <v>5.0</v>
      </c>
      <c r="O13" s="15">
        <v>5.0</v>
      </c>
      <c r="P13" s="15">
        <v>5.0</v>
      </c>
      <c r="Q13" s="15" t="s">
        <v>55</v>
      </c>
      <c r="R13" s="15" t="s">
        <v>57</v>
      </c>
      <c r="S13" s="15" t="s">
        <v>64</v>
      </c>
      <c r="T13" s="23">
        <v>5.0</v>
      </c>
      <c r="U13" s="24">
        <f>+2</f>
        <v>2</v>
      </c>
      <c r="V13" s="21"/>
      <c r="X13" s="15" t="s">
        <v>77</v>
      </c>
      <c r="AO13" s="26"/>
      <c r="AP13" s="15">
        <v>22.0</v>
      </c>
      <c r="AQ13" s="15" t="s">
        <v>59</v>
      </c>
      <c r="AR13" s="15" t="s">
        <v>98</v>
      </c>
      <c r="AS13" s="15" t="s">
        <v>61</v>
      </c>
      <c r="AT13" s="15" t="s">
        <v>99</v>
      </c>
      <c r="AU13" s="15" t="s">
        <v>100</v>
      </c>
    </row>
    <row r="14">
      <c r="A14" s="14">
        <v>45068.54132726852</v>
      </c>
      <c r="B14" s="15" t="s">
        <v>53</v>
      </c>
      <c r="C14" s="15" t="s">
        <v>97</v>
      </c>
      <c r="D14" s="15">
        <v>-5.0</v>
      </c>
      <c r="E14" s="15" t="s">
        <v>53</v>
      </c>
      <c r="F14" s="15">
        <v>4.0</v>
      </c>
      <c r="G14" s="15">
        <v>2.0</v>
      </c>
      <c r="H14" s="15">
        <v>2.0</v>
      </c>
      <c r="I14" s="15">
        <v>3.0</v>
      </c>
      <c r="J14" s="15">
        <v>1.0</v>
      </c>
      <c r="K14" s="15">
        <v>3.0</v>
      </c>
      <c r="L14" s="15">
        <v>1.0</v>
      </c>
      <c r="M14" s="15">
        <v>3.0</v>
      </c>
      <c r="N14" s="15">
        <v>1.0</v>
      </c>
      <c r="O14" s="15">
        <v>1.0</v>
      </c>
      <c r="P14" s="15">
        <v>4.0</v>
      </c>
      <c r="Q14" s="15" t="s">
        <v>101</v>
      </c>
      <c r="R14" s="15" t="s">
        <v>101</v>
      </c>
      <c r="S14" s="15" t="s">
        <v>101</v>
      </c>
      <c r="T14" s="23">
        <v>4.0</v>
      </c>
      <c r="U14" s="24">
        <v>-5.0</v>
      </c>
      <c r="V14" s="25"/>
      <c r="W14" s="15" t="s">
        <v>102</v>
      </c>
      <c r="AO14" s="26"/>
      <c r="AP14" s="15">
        <v>21.0</v>
      </c>
      <c r="AQ14" s="15" t="s">
        <v>67</v>
      </c>
      <c r="AR14" s="15" t="s">
        <v>60</v>
      </c>
      <c r="AS14" s="15" t="s">
        <v>61</v>
      </c>
      <c r="AT14" s="15" t="s">
        <v>69</v>
      </c>
      <c r="AU14" s="15" t="s">
        <v>103</v>
      </c>
    </row>
    <row r="15">
      <c r="A15" s="14">
        <v>45068.54160730324</v>
      </c>
      <c r="B15" s="15" t="s">
        <v>53</v>
      </c>
      <c r="C15" s="15" t="s">
        <v>53</v>
      </c>
      <c r="D15" s="15" t="s">
        <v>104</v>
      </c>
      <c r="E15" s="15" t="s">
        <v>53</v>
      </c>
      <c r="F15" s="15">
        <v>5.0</v>
      </c>
      <c r="G15" s="15">
        <v>1.0</v>
      </c>
      <c r="H15" s="15">
        <v>1.0</v>
      </c>
      <c r="I15" s="15">
        <v>5.0</v>
      </c>
      <c r="J15" s="15">
        <v>5.0</v>
      </c>
      <c r="K15" s="15">
        <v>3.0</v>
      </c>
      <c r="L15" s="15">
        <v>3.0</v>
      </c>
      <c r="M15" s="15">
        <v>3.0</v>
      </c>
      <c r="N15" s="15">
        <v>3.0</v>
      </c>
      <c r="O15" s="15">
        <v>3.0</v>
      </c>
      <c r="P15" s="15">
        <v>3.0</v>
      </c>
      <c r="Q15" s="15" t="s">
        <v>83</v>
      </c>
      <c r="R15" s="15" t="s">
        <v>92</v>
      </c>
      <c r="S15" s="15" t="s">
        <v>64</v>
      </c>
      <c r="T15" s="22">
        <v>4.0</v>
      </c>
      <c r="U15" s="20">
        <f>+4</f>
        <v>4</v>
      </c>
      <c r="V15" s="21" t="s">
        <v>85</v>
      </c>
      <c r="X15" s="15" t="s">
        <v>77</v>
      </c>
      <c r="Y15" s="15" t="s">
        <v>53</v>
      </c>
      <c r="Z15" s="15">
        <v>5.0</v>
      </c>
      <c r="AA15" s="15">
        <v>1.0</v>
      </c>
      <c r="AB15" s="15">
        <v>1.0</v>
      </c>
      <c r="AC15" s="15">
        <v>5.0</v>
      </c>
      <c r="AD15" s="15">
        <v>5.0</v>
      </c>
      <c r="AE15" s="15">
        <v>3.0</v>
      </c>
      <c r="AF15" s="15">
        <v>3.0</v>
      </c>
      <c r="AG15" s="15">
        <v>3.0</v>
      </c>
      <c r="AH15" s="15">
        <v>3.0</v>
      </c>
      <c r="AI15" s="15">
        <v>3.0</v>
      </c>
      <c r="AJ15" s="15">
        <v>3.0</v>
      </c>
      <c r="AN15" s="15">
        <v>4.0</v>
      </c>
      <c r="AO15" s="19" t="s">
        <v>85</v>
      </c>
      <c r="AP15" s="15">
        <v>56.0</v>
      </c>
      <c r="AQ15" s="15" t="s">
        <v>59</v>
      </c>
      <c r="AR15" s="15" t="s">
        <v>60</v>
      </c>
      <c r="AS15" s="15" t="s">
        <v>61</v>
      </c>
      <c r="AT15" s="15" t="s">
        <v>105</v>
      </c>
      <c r="AU15" s="15" t="s">
        <v>106</v>
      </c>
    </row>
    <row r="16">
      <c r="A16" s="14">
        <v>45068.54173378472</v>
      </c>
      <c r="B16" s="15" t="s">
        <v>53</v>
      </c>
      <c r="C16" s="15" t="s">
        <v>53</v>
      </c>
      <c r="D16" s="15" t="s">
        <v>85</v>
      </c>
      <c r="E16" s="15" t="s">
        <v>53</v>
      </c>
      <c r="F16" s="15">
        <v>4.0</v>
      </c>
      <c r="G16" s="15">
        <v>4.0</v>
      </c>
      <c r="H16" s="15">
        <v>4.0</v>
      </c>
      <c r="I16" s="15">
        <v>4.0</v>
      </c>
      <c r="J16" s="15">
        <v>4.0</v>
      </c>
      <c r="K16" s="15">
        <v>4.0</v>
      </c>
      <c r="L16" s="15">
        <v>4.0</v>
      </c>
      <c r="M16" s="15">
        <v>4.0</v>
      </c>
      <c r="N16" s="15">
        <v>4.0</v>
      </c>
      <c r="O16" s="15">
        <v>4.0</v>
      </c>
      <c r="P16" s="15">
        <v>4.0</v>
      </c>
      <c r="Q16" s="15" t="s">
        <v>83</v>
      </c>
      <c r="R16" s="15" t="s">
        <v>55</v>
      </c>
      <c r="S16" s="15" t="s">
        <v>107</v>
      </c>
      <c r="T16" s="22">
        <v>4.0</v>
      </c>
      <c r="U16" s="20">
        <f>+3</f>
        <v>3</v>
      </c>
      <c r="V16" s="21" t="s">
        <v>54</v>
      </c>
      <c r="X16" s="15" t="s">
        <v>108</v>
      </c>
      <c r="Y16" s="15" t="s">
        <v>53</v>
      </c>
      <c r="Z16" s="15">
        <v>4.0</v>
      </c>
      <c r="AA16" s="15">
        <v>4.0</v>
      </c>
      <c r="AB16" s="15">
        <v>4.0</v>
      </c>
      <c r="AC16" s="15">
        <v>4.0</v>
      </c>
      <c r="AD16" s="15">
        <v>4.0</v>
      </c>
      <c r="AE16" s="15">
        <v>4.0</v>
      </c>
      <c r="AF16" s="15">
        <v>4.0</v>
      </c>
      <c r="AG16" s="15">
        <v>4.0</v>
      </c>
      <c r="AH16" s="15">
        <v>4.0</v>
      </c>
      <c r="AI16" s="15">
        <v>4.0</v>
      </c>
      <c r="AJ16" s="15">
        <v>4.0</v>
      </c>
      <c r="AN16" s="15">
        <v>4.0</v>
      </c>
      <c r="AO16" s="19" t="s">
        <v>54</v>
      </c>
      <c r="AP16" s="15">
        <v>30.0</v>
      </c>
      <c r="AQ16" s="15" t="s">
        <v>67</v>
      </c>
      <c r="AR16" s="15" t="s">
        <v>60</v>
      </c>
      <c r="AS16" s="15" t="s">
        <v>109</v>
      </c>
      <c r="AT16" s="15" t="s">
        <v>110</v>
      </c>
      <c r="AU16" s="15" t="s">
        <v>111</v>
      </c>
      <c r="AV16" s="15" t="s">
        <v>112</v>
      </c>
    </row>
    <row r="17">
      <c r="A17" s="14">
        <v>45068.54841581019</v>
      </c>
      <c r="B17" s="15" t="s">
        <v>53</v>
      </c>
      <c r="C17" s="15" t="s">
        <v>53</v>
      </c>
      <c r="D17" s="15">
        <v>-5.0</v>
      </c>
      <c r="E17" s="15" t="s">
        <v>53</v>
      </c>
      <c r="F17" s="15">
        <v>1.0</v>
      </c>
      <c r="G17" s="15">
        <v>3.0</v>
      </c>
      <c r="H17" s="15">
        <v>5.0</v>
      </c>
      <c r="I17" s="15">
        <v>5.0</v>
      </c>
      <c r="J17" s="15">
        <v>1.0</v>
      </c>
      <c r="K17" s="15">
        <v>3.0</v>
      </c>
      <c r="L17" s="15">
        <v>1.0</v>
      </c>
      <c r="M17" s="15">
        <v>3.0</v>
      </c>
      <c r="N17" s="15">
        <v>4.0</v>
      </c>
      <c r="O17" s="15">
        <v>4.0</v>
      </c>
      <c r="P17" s="15">
        <v>4.0</v>
      </c>
      <c r="Q17" s="15" t="s">
        <v>55</v>
      </c>
      <c r="R17" s="15" t="s">
        <v>64</v>
      </c>
      <c r="S17" s="15" t="s">
        <v>83</v>
      </c>
      <c r="T17" s="23">
        <v>4.0</v>
      </c>
      <c r="U17" s="24">
        <f>+1</f>
        <v>1</v>
      </c>
      <c r="V17" s="21"/>
      <c r="X17" s="15" t="s">
        <v>113</v>
      </c>
      <c r="AO17" s="26"/>
      <c r="AP17" s="15">
        <v>18.0</v>
      </c>
      <c r="AQ17" s="15" t="s">
        <v>59</v>
      </c>
      <c r="AR17" s="15" t="s">
        <v>98</v>
      </c>
      <c r="AS17" s="15" t="s">
        <v>109</v>
      </c>
      <c r="AT17" s="15" t="s">
        <v>78</v>
      </c>
      <c r="AU17" s="15" t="s">
        <v>114</v>
      </c>
    </row>
    <row r="18">
      <c r="A18" s="14">
        <v>45068.55005159722</v>
      </c>
      <c r="B18" s="15" t="s">
        <v>53</v>
      </c>
      <c r="C18" s="15" t="s">
        <v>53</v>
      </c>
      <c r="D18" s="15" t="s">
        <v>85</v>
      </c>
      <c r="E18" s="15" t="s">
        <v>53</v>
      </c>
      <c r="F18" s="15">
        <v>1.0</v>
      </c>
      <c r="G18" s="15">
        <v>5.0</v>
      </c>
      <c r="H18" s="15">
        <v>5.0</v>
      </c>
      <c r="I18" s="15">
        <v>5.0</v>
      </c>
      <c r="J18" s="15">
        <v>1.0</v>
      </c>
      <c r="K18" s="15">
        <v>5.0</v>
      </c>
      <c r="L18" s="15">
        <v>1.0</v>
      </c>
      <c r="M18" s="15">
        <v>4.0</v>
      </c>
      <c r="N18" s="15">
        <v>5.0</v>
      </c>
      <c r="O18" s="15">
        <v>5.0</v>
      </c>
      <c r="P18" s="15">
        <v>5.0</v>
      </c>
      <c r="Q18" s="15" t="s">
        <v>55</v>
      </c>
      <c r="R18" s="15" t="s">
        <v>64</v>
      </c>
      <c r="S18" s="15" t="s">
        <v>92</v>
      </c>
      <c r="T18" s="22">
        <v>5.0</v>
      </c>
      <c r="U18" s="17">
        <v>-5.0</v>
      </c>
      <c r="V18" s="18">
        <v>-5.0</v>
      </c>
      <c r="W18" s="15" t="s">
        <v>80</v>
      </c>
      <c r="Y18" s="15" t="s">
        <v>53</v>
      </c>
      <c r="Z18" s="15">
        <v>1.0</v>
      </c>
      <c r="AA18" s="15">
        <v>5.0</v>
      </c>
      <c r="AB18" s="15">
        <v>5.0</v>
      </c>
      <c r="AC18" s="15">
        <v>5.0</v>
      </c>
      <c r="AD18" s="15">
        <v>1.0</v>
      </c>
      <c r="AE18" s="15">
        <v>5.0</v>
      </c>
      <c r="AF18" s="15">
        <v>1.0</v>
      </c>
      <c r="AG18" s="15">
        <v>4.0</v>
      </c>
      <c r="AH18" s="15">
        <v>5.0</v>
      </c>
      <c r="AI18" s="15">
        <v>5.0</v>
      </c>
      <c r="AJ18" s="15">
        <v>5.0</v>
      </c>
      <c r="AN18" s="15">
        <v>5.0</v>
      </c>
      <c r="AO18" s="19">
        <v>-5.0</v>
      </c>
      <c r="AP18" s="15">
        <v>21.0</v>
      </c>
      <c r="AQ18" s="15" t="s">
        <v>67</v>
      </c>
      <c r="AR18" s="15" t="s">
        <v>60</v>
      </c>
      <c r="AS18" s="15" t="s">
        <v>61</v>
      </c>
      <c r="AT18" s="15" t="s">
        <v>78</v>
      </c>
      <c r="AU18" s="15" t="s">
        <v>115</v>
      </c>
    </row>
    <row r="19">
      <c r="A19" s="14">
        <v>45068.553221793976</v>
      </c>
      <c r="B19" s="15" t="s">
        <v>53</v>
      </c>
      <c r="C19" s="15" t="s">
        <v>53</v>
      </c>
      <c r="D19" s="15">
        <v>-1.0</v>
      </c>
      <c r="E19" s="15" t="s">
        <v>53</v>
      </c>
      <c r="F19" s="15">
        <v>3.0</v>
      </c>
      <c r="G19" s="15">
        <v>3.0</v>
      </c>
      <c r="H19" s="15">
        <v>2.0</v>
      </c>
      <c r="I19" s="15">
        <v>4.0</v>
      </c>
      <c r="J19" s="15">
        <v>3.0</v>
      </c>
      <c r="K19" s="15">
        <v>3.0</v>
      </c>
      <c r="L19" s="15">
        <v>1.0</v>
      </c>
      <c r="M19" s="15">
        <v>2.0</v>
      </c>
      <c r="N19" s="15">
        <v>2.0</v>
      </c>
      <c r="O19" s="15">
        <v>2.0</v>
      </c>
      <c r="P19" s="15">
        <v>2.0</v>
      </c>
      <c r="Q19" s="15" t="s">
        <v>55</v>
      </c>
      <c r="R19" s="15" t="s">
        <v>57</v>
      </c>
      <c r="S19" s="15" t="s">
        <v>92</v>
      </c>
      <c r="T19" s="23">
        <v>4.0</v>
      </c>
      <c r="U19" s="24">
        <f>+1</f>
        <v>1</v>
      </c>
      <c r="V19" s="21"/>
      <c r="X19" s="15" t="s">
        <v>116</v>
      </c>
      <c r="AO19" s="26"/>
      <c r="AP19" s="15">
        <v>22.0</v>
      </c>
      <c r="AQ19" s="15" t="s">
        <v>67</v>
      </c>
      <c r="AR19" s="15" t="s">
        <v>60</v>
      </c>
      <c r="AS19" s="15" t="s">
        <v>61</v>
      </c>
      <c r="AT19" s="15" t="s">
        <v>78</v>
      </c>
      <c r="AU19" s="15" t="s">
        <v>117</v>
      </c>
    </row>
    <row r="20">
      <c r="A20" s="14">
        <v>45068.55336268518</v>
      </c>
      <c r="B20" s="15" t="s">
        <v>53</v>
      </c>
      <c r="C20" s="15" t="s">
        <v>53</v>
      </c>
      <c r="D20" s="15">
        <v>-3.0</v>
      </c>
      <c r="E20" s="15" t="s">
        <v>53</v>
      </c>
      <c r="F20" s="15">
        <v>5.0</v>
      </c>
      <c r="G20" s="15">
        <v>1.0</v>
      </c>
      <c r="H20" s="15">
        <v>3.0</v>
      </c>
      <c r="I20" s="15">
        <v>5.0</v>
      </c>
      <c r="J20" s="15">
        <v>2.0</v>
      </c>
      <c r="K20" s="15">
        <v>4.0</v>
      </c>
      <c r="L20" s="15">
        <v>1.0</v>
      </c>
      <c r="M20" s="15">
        <v>3.0</v>
      </c>
      <c r="N20" s="15">
        <v>4.0</v>
      </c>
      <c r="O20" s="15">
        <v>4.0</v>
      </c>
      <c r="P20" s="15">
        <v>5.0</v>
      </c>
      <c r="Q20" s="15" t="s">
        <v>86</v>
      </c>
      <c r="R20" s="15" t="s">
        <v>57</v>
      </c>
      <c r="S20" s="15" t="s">
        <v>56</v>
      </c>
      <c r="T20" s="23">
        <v>4.0</v>
      </c>
      <c r="U20" s="24">
        <v>-3.0</v>
      </c>
      <c r="V20" s="25"/>
      <c r="W20" s="15" t="s">
        <v>66</v>
      </c>
      <c r="AO20" s="26"/>
      <c r="AP20" s="15">
        <v>22.0</v>
      </c>
      <c r="AQ20" s="15" t="s">
        <v>67</v>
      </c>
      <c r="AR20" s="15" t="s">
        <v>68</v>
      </c>
      <c r="AS20" s="15" t="s">
        <v>61</v>
      </c>
      <c r="AT20" s="15" t="s">
        <v>93</v>
      </c>
      <c r="AU20" s="15" t="s">
        <v>118</v>
      </c>
      <c r="AV20" s="15" t="s">
        <v>119</v>
      </c>
    </row>
    <row r="21">
      <c r="A21" s="14">
        <v>45068.556389467594</v>
      </c>
      <c r="B21" s="15" t="s">
        <v>53</v>
      </c>
      <c r="C21" s="15" t="s">
        <v>53</v>
      </c>
      <c r="D21" s="15">
        <v>-3.0</v>
      </c>
      <c r="E21" s="15" t="s">
        <v>53</v>
      </c>
      <c r="F21" s="15">
        <v>2.0</v>
      </c>
      <c r="G21" s="15">
        <v>4.0</v>
      </c>
      <c r="H21" s="15">
        <v>4.0</v>
      </c>
      <c r="I21" s="15">
        <v>4.0</v>
      </c>
      <c r="J21" s="15">
        <v>2.0</v>
      </c>
      <c r="K21" s="15">
        <v>5.0</v>
      </c>
      <c r="L21" s="15">
        <v>2.0</v>
      </c>
      <c r="M21" s="15">
        <v>4.0</v>
      </c>
      <c r="N21" s="15">
        <v>4.0</v>
      </c>
      <c r="O21" s="15">
        <v>4.0</v>
      </c>
      <c r="P21" s="15">
        <v>4.0</v>
      </c>
      <c r="Q21" s="15" t="s">
        <v>55</v>
      </c>
      <c r="R21" s="15" t="s">
        <v>56</v>
      </c>
      <c r="S21" s="15" t="s">
        <v>92</v>
      </c>
      <c r="T21" s="23">
        <v>4.0</v>
      </c>
      <c r="U21" s="24">
        <f>+3</f>
        <v>3</v>
      </c>
      <c r="V21" s="21"/>
      <c r="X21" s="15" t="s">
        <v>77</v>
      </c>
      <c r="AO21" s="26"/>
      <c r="AP21" s="15">
        <v>20.0</v>
      </c>
      <c r="AQ21" s="15" t="s">
        <v>67</v>
      </c>
      <c r="AR21" s="15" t="s">
        <v>120</v>
      </c>
      <c r="AS21" s="15" t="s">
        <v>109</v>
      </c>
      <c r="AT21" s="15" t="s">
        <v>78</v>
      </c>
      <c r="AU21" s="15" t="s">
        <v>121</v>
      </c>
    </row>
    <row r="22">
      <c r="A22" s="14">
        <v>45068.556929872684</v>
      </c>
      <c r="B22" s="15" t="s">
        <v>53</v>
      </c>
      <c r="C22" s="15" t="s">
        <v>53</v>
      </c>
      <c r="D22" s="15" t="s">
        <v>65</v>
      </c>
      <c r="E22" s="15" t="s">
        <v>53</v>
      </c>
      <c r="F22" s="15">
        <v>4.0</v>
      </c>
      <c r="G22" s="15">
        <v>2.0</v>
      </c>
      <c r="H22" s="15">
        <v>2.0</v>
      </c>
      <c r="I22" s="15">
        <v>3.0</v>
      </c>
      <c r="J22" s="15">
        <v>2.0</v>
      </c>
      <c r="K22" s="15">
        <v>5.0</v>
      </c>
      <c r="L22" s="15">
        <v>1.0</v>
      </c>
      <c r="M22" s="15">
        <v>4.0</v>
      </c>
      <c r="N22" s="15">
        <v>4.0</v>
      </c>
      <c r="O22" s="15">
        <v>4.0</v>
      </c>
      <c r="P22" s="15">
        <v>4.0</v>
      </c>
      <c r="Q22" s="15" t="s">
        <v>55</v>
      </c>
      <c r="R22" s="15" t="s">
        <v>64</v>
      </c>
      <c r="S22" s="15" t="s">
        <v>83</v>
      </c>
      <c r="T22" s="22">
        <v>4.0</v>
      </c>
      <c r="U22" s="17">
        <v>-2.0</v>
      </c>
      <c r="V22" s="18">
        <v>-2.0</v>
      </c>
      <c r="W22" s="15" t="s">
        <v>80</v>
      </c>
      <c r="Y22" s="15" t="s">
        <v>53</v>
      </c>
      <c r="Z22" s="15">
        <v>4.0</v>
      </c>
      <c r="AA22" s="15">
        <v>2.0</v>
      </c>
      <c r="AB22" s="15">
        <v>2.0</v>
      </c>
      <c r="AC22" s="15">
        <v>3.0</v>
      </c>
      <c r="AD22" s="15">
        <v>2.0</v>
      </c>
      <c r="AE22" s="15">
        <v>5.0</v>
      </c>
      <c r="AF22" s="15">
        <v>1.0</v>
      </c>
      <c r="AG22" s="15">
        <v>4.0</v>
      </c>
      <c r="AH22" s="15">
        <v>4.0</v>
      </c>
      <c r="AI22" s="15">
        <v>4.0</v>
      </c>
      <c r="AJ22" s="15">
        <v>4.0</v>
      </c>
      <c r="AN22" s="15">
        <v>4.0</v>
      </c>
      <c r="AO22" s="19">
        <v>-2.0</v>
      </c>
      <c r="AP22" s="15">
        <v>22.0</v>
      </c>
      <c r="AQ22" s="15" t="s">
        <v>67</v>
      </c>
      <c r="AR22" s="15" t="s">
        <v>122</v>
      </c>
      <c r="AS22" s="15" t="s">
        <v>61</v>
      </c>
      <c r="AT22" s="15" t="s">
        <v>78</v>
      </c>
      <c r="AU22" s="15" t="s">
        <v>123</v>
      </c>
    </row>
    <row r="23">
      <c r="A23" s="14">
        <v>45068.55738775463</v>
      </c>
      <c r="B23" s="15" t="s">
        <v>53</v>
      </c>
      <c r="C23" s="15" t="s">
        <v>53</v>
      </c>
      <c r="D23" s="15">
        <v>-4.0</v>
      </c>
      <c r="E23" s="15" t="s">
        <v>53</v>
      </c>
      <c r="F23" s="15">
        <v>5.0</v>
      </c>
      <c r="G23" s="15">
        <v>1.0</v>
      </c>
      <c r="H23" s="15">
        <v>4.0</v>
      </c>
      <c r="I23" s="15">
        <v>4.0</v>
      </c>
      <c r="J23" s="15">
        <v>4.0</v>
      </c>
      <c r="K23" s="15">
        <v>5.0</v>
      </c>
      <c r="L23" s="15">
        <v>1.0</v>
      </c>
      <c r="M23" s="15">
        <v>1.0</v>
      </c>
      <c r="N23" s="15">
        <v>1.0</v>
      </c>
      <c r="O23" s="15">
        <v>1.0</v>
      </c>
      <c r="P23" s="15">
        <v>1.0</v>
      </c>
      <c r="Q23" s="15" t="s">
        <v>57</v>
      </c>
      <c r="R23" s="15" t="s">
        <v>86</v>
      </c>
      <c r="S23" s="15" t="s">
        <v>64</v>
      </c>
      <c r="T23" s="23">
        <v>4.0</v>
      </c>
      <c r="U23" s="24">
        <f>+1</f>
        <v>1</v>
      </c>
      <c r="V23" s="21"/>
      <c r="X23" s="15" t="s">
        <v>77</v>
      </c>
      <c r="AO23" s="26"/>
      <c r="AP23" s="15">
        <v>21.0</v>
      </c>
      <c r="AQ23" s="15" t="s">
        <v>67</v>
      </c>
      <c r="AR23" s="15" t="s">
        <v>60</v>
      </c>
      <c r="AS23" s="15" t="s">
        <v>61</v>
      </c>
      <c r="AT23" s="15" t="s">
        <v>93</v>
      </c>
      <c r="AU23" s="15" t="s">
        <v>124</v>
      </c>
    </row>
    <row r="24">
      <c r="A24" s="14">
        <v>45068.55774172454</v>
      </c>
      <c r="B24" s="15" t="s">
        <v>53</v>
      </c>
      <c r="C24" s="15" t="s">
        <v>53</v>
      </c>
      <c r="D24" s="15">
        <v>-3.0</v>
      </c>
      <c r="E24" s="15" t="s">
        <v>53</v>
      </c>
      <c r="F24" s="15">
        <v>3.0</v>
      </c>
      <c r="G24" s="15">
        <v>3.0</v>
      </c>
      <c r="H24" s="15">
        <v>3.0</v>
      </c>
      <c r="I24" s="15">
        <v>4.0</v>
      </c>
      <c r="J24" s="15">
        <v>3.0</v>
      </c>
      <c r="K24" s="15">
        <v>4.0</v>
      </c>
      <c r="L24" s="15">
        <v>2.0</v>
      </c>
      <c r="M24" s="15">
        <v>4.0</v>
      </c>
      <c r="N24" s="15">
        <v>4.0</v>
      </c>
      <c r="O24" s="15">
        <v>4.0</v>
      </c>
      <c r="P24" s="15">
        <v>4.0</v>
      </c>
      <c r="Q24" s="15" t="s">
        <v>55</v>
      </c>
      <c r="R24" s="15" t="s">
        <v>92</v>
      </c>
      <c r="S24" s="15" t="s">
        <v>56</v>
      </c>
      <c r="T24" s="23">
        <v>4.0</v>
      </c>
      <c r="U24" s="24">
        <v>-5.0</v>
      </c>
      <c r="V24" s="25"/>
      <c r="W24" s="15" t="s">
        <v>80</v>
      </c>
      <c r="AO24" s="26"/>
      <c r="AP24" s="15">
        <v>27.0</v>
      </c>
      <c r="AQ24" s="15" t="s">
        <v>67</v>
      </c>
      <c r="AR24" s="15" t="s">
        <v>68</v>
      </c>
      <c r="AS24" s="15" t="s">
        <v>61</v>
      </c>
      <c r="AT24" s="15" t="s">
        <v>125</v>
      </c>
      <c r="AU24" s="15" t="s">
        <v>126</v>
      </c>
    </row>
    <row r="25">
      <c r="A25" s="14">
        <v>45068.55893570602</v>
      </c>
      <c r="B25" s="15" t="s">
        <v>53</v>
      </c>
      <c r="C25" s="15" t="s">
        <v>53</v>
      </c>
      <c r="D25" s="15">
        <v>-3.0</v>
      </c>
      <c r="E25" s="15" t="s">
        <v>53</v>
      </c>
      <c r="F25" s="15">
        <v>3.0</v>
      </c>
      <c r="G25" s="15">
        <v>3.0</v>
      </c>
      <c r="H25" s="15">
        <v>3.0</v>
      </c>
      <c r="I25" s="15">
        <v>4.0</v>
      </c>
      <c r="J25" s="15">
        <v>3.0</v>
      </c>
      <c r="K25" s="15">
        <v>4.0</v>
      </c>
      <c r="L25" s="15">
        <v>2.0</v>
      </c>
      <c r="M25" s="15">
        <v>4.0</v>
      </c>
      <c r="N25" s="15">
        <v>4.0</v>
      </c>
      <c r="O25" s="15">
        <v>4.0</v>
      </c>
      <c r="P25" s="15">
        <v>4.0</v>
      </c>
      <c r="Q25" s="15" t="s">
        <v>55</v>
      </c>
      <c r="R25" s="15" t="s">
        <v>92</v>
      </c>
      <c r="S25" s="15" t="s">
        <v>56</v>
      </c>
      <c r="T25" s="23">
        <v>4.0</v>
      </c>
      <c r="U25" s="24">
        <v>-5.0</v>
      </c>
      <c r="V25" s="25"/>
      <c r="W25" s="15" t="s">
        <v>80</v>
      </c>
      <c r="AO25" s="26"/>
      <c r="AP25" s="15">
        <v>35.0</v>
      </c>
      <c r="AQ25" s="15" t="s">
        <v>59</v>
      </c>
      <c r="AR25" s="15" t="s">
        <v>68</v>
      </c>
      <c r="AS25" s="15" t="s">
        <v>61</v>
      </c>
      <c r="AT25" s="15" t="s">
        <v>125</v>
      </c>
      <c r="AU25" s="15" t="s">
        <v>127</v>
      </c>
    </row>
    <row r="26">
      <c r="A26" s="14">
        <v>45068.56038248843</v>
      </c>
      <c r="B26" s="15" t="s">
        <v>53</v>
      </c>
      <c r="C26" s="15" t="s">
        <v>53</v>
      </c>
      <c r="D26" s="15" t="s">
        <v>104</v>
      </c>
      <c r="E26" s="15" t="s">
        <v>53</v>
      </c>
      <c r="F26" s="15">
        <v>4.0</v>
      </c>
      <c r="G26" s="15">
        <v>2.0</v>
      </c>
      <c r="H26" s="15">
        <v>1.0</v>
      </c>
      <c r="I26" s="15">
        <v>5.0</v>
      </c>
      <c r="J26" s="15">
        <v>3.0</v>
      </c>
      <c r="K26" s="15">
        <v>5.0</v>
      </c>
      <c r="L26" s="15">
        <v>1.0</v>
      </c>
      <c r="M26" s="15">
        <v>5.0</v>
      </c>
      <c r="N26" s="15">
        <v>5.0</v>
      </c>
      <c r="O26" s="15">
        <v>5.0</v>
      </c>
      <c r="P26" s="15">
        <v>5.0</v>
      </c>
      <c r="Q26" s="15" t="s">
        <v>55</v>
      </c>
      <c r="R26" s="15" t="s">
        <v>83</v>
      </c>
      <c r="S26" s="15" t="s">
        <v>56</v>
      </c>
      <c r="T26" s="22">
        <v>5.0</v>
      </c>
      <c r="U26" s="20">
        <f>+3</f>
        <v>3</v>
      </c>
      <c r="V26" s="21" t="s">
        <v>54</v>
      </c>
      <c r="X26" s="15" t="s">
        <v>113</v>
      </c>
      <c r="Y26" s="15" t="s">
        <v>53</v>
      </c>
      <c r="Z26" s="15">
        <v>4.0</v>
      </c>
      <c r="AA26" s="15">
        <v>2.0</v>
      </c>
      <c r="AB26" s="15">
        <v>1.0</v>
      </c>
      <c r="AC26" s="15">
        <v>5.0</v>
      </c>
      <c r="AD26" s="15">
        <v>3.0</v>
      </c>
      <c r="AE26" s="15">
        <v>5.0</v>
      </c>
      <c r="AF26" s="15">
        <v>1.0</v>
      </c>
      <c r="AG26" s="15">
        <v>5.0</v>
      </c>
      <c r="AH26" s="15">
        <v>5.0</v>
      </c>
      <c r="AI26" s="15">
        <v>5.0</v>
      </c>
      <c r="AJ26" s="15">
        <v>5.0</v>
      </c>
      <c r="AN26" s="15">
        <v>5.0</v>
      </c>
      <c r="AO26" s="19" t="s">
        <v>54</v>
      </c>
      <c r="AP26" s="15">
        <v>20.0</v>
      </c>
      <c r="AQ26" s="15" t="s">
        <v>67</v>
      </c>
      <c r="AR26" s="15" t="s">
        <v>122</v>
      </c>
      <c r="AS26" s="15" t="s">
        <v>61</v>
      </c>
      <c r="AT26" s="15" t="s">
        <v>78</v>
      </c>
      <c r="AU26" s="15" t="s">
        <v>128</v>
      </c>
      <c r="AV26" s="15" t="s">
        <v>129</v>
      </c>
    </row>
    <row r="27">
      <c r="A27" s="14">
        <v>45068.564879513884</v>
      </c>
      <c r="B27" s="15" t="s">
        <v>53</v>
      </c>
      <c r="C27" s="15" t="s">
        <v>53</v>
      </c>
      <c r="D27" s="15" t="s">
        <v>85</v>
      </c>
      <c r="E27" s="15" t="s">
        <v>53</v>
      </c>
      <c r="F27" s="15">
        <v>3.0</v>
      </c>
      <c r="G27" s="15">
        <v>3.0</v>
      </c>
      <c r="H27" s="15">
        <v>3.0</v>
      </c>
      <c r="I27" s="15">
        <v>3.0</v>
      </c>
      <c r="J27" s="15">
        <v>2.0</v>
      </c>
      <c r="K27" s="15">
        <v>4.0</v>
      </c>
      <c r="L27" s="15">
        <v>1.0</v>
      </c>
      <c r="M27" s="15">
        <v>3.0</v>
      </c>
      <c r="N27" s="15">
        <v>3.0</v>
      </c>
      <c r="O27" s="15">
        <v>2.0</v>
      </c>
      <c r="P27" s="15">
        <v>3.0</v>
      </c>
      <c r="Q27" s="15" t="s">
        <v>55</v>
      </c>
      <c r="R27" s="15" t="s">
        <v>56</v>
      </c>
      <c r="S27" s="15" t="s">
        <v>83</v>
      </c>
      <c r="T27" s="22">
        <v>3.0</v>
      </c>
      <c r="U27" s="20">
        <f>+1</f>
        <v>1</v>
      </c>
      <c r="V27" s="21" t="s">
        <v>72</v>
      </c>
      <c r="X27" s="15" t="s">
        <v>130</v>
      </c>
      <c r="Y27" s="15" t="s">
        <v>53</v>
      </c>
      <c r="Z27" s="15">
        <v>3.0</v>
      </c>
      <c r="AA27" s="15">
        <v>3.0</v>
      </c>
      <c r="AB27" s="15">
        <v>3.0</v>
      </c>
      <c r="AC27" s="15">
        <v>3.0</v>
      </c>
      <c r="AD27" s="15">
        <v>2.0</v>
      </c>
      <c r="AE27" s="15">
        <v>4.0</v>
      </c>
      <c r="AF27" s="15">
        <v>1.0</v>
      </c>
      <c r="AG27" s="15">
        <v>3.0</v>
      </c>
      <c r="AH27" s="15">
        <v>3.0</v>
      </c>
      <c r="AI27" s="15">
        <v>2.0</v>
      </c>
      <c r="AJ27" s="15">
        <v>3.0</v>
      </c>
      <c r="AN27" s="15">
        <v>3.0</v>
      </c>
      <c r="AO27" s="19" t="s">
        <v>72</v>
      </c>
      <c r="AP27" s="15">
        <v>23.0</v>
      </c>
      <c r="AQ27" s="15" t="s">
        <v>67</v>
      </c>
      <c r="AR27" s="15" t="s">
        <v>68</v>
      </c>
      <c r="AS27" s="15" t="s">
        <v>61</v>
      </c>
      <c r="AT27" s="15" t="s">
        <v>93</v>
      </c>
      <c r="AU27" s="15" t="s">
        <v>131</v>
      </c>
    </row>
    <row r="28">
      <c r="A28" s="14">
        <v>45068.56563456019</v>
      </c>
      <c r="B28" s="15" t="s">
        <v>53</v>
      </c>
      <c r="C28" s="15" t="s">
        <v>53</v>
      </c>
      <c r="D28" s="15" t="s">
        <v>54</v>
      </c>
      <c r="E28" s="15" t="s">
        <v>53</v>
      </c>
      <c r="F28" s="15">
        <v>5.0</v>
      </c>
      <c r="G28" s="15">
        <v>2.0</v>
      </c>
      <c r="H28" s="15">
        <v>1.0</v>
      </c>
      <c r="I28" s="15">
        <v>3.0</v>
      </c>
      <c r="J28" s="15">
        <v>3.0</v>
      </c>
      <c r="K28" s="15">
        <v>5.0</v>
      </c>
      <c r="L28" s="15">
        <v>3.0</v>
      </c>
      <c r="M28" s="15">
        <v>4.0</v>
      </c>
      <c r="N28" s="15">
        <v>4.0</v>
      </c>
      <c r="O28" s="15">
        <v>5.0</v>
      </c>
      <c r="P28" s="15">
        <v>5.0</v>
      </c>
      <c r="Q28" s="15" t="s">
        <v>92</v>
      </c>
      <c r="R28" s="15" t="s">
        <v>55</v>
      </c>
      <c r="S28" s="15" t="s">
        <v>57</v>
      </c>
      <c r="T28" s="22">
        <v>5.0</v>
      </c>
      <c r="U28" s="20">
        <f>+3</f>
        <v>3</v>
      </c>
      <c r="V28" s="21" t="s">
        <v>54</v>
      </c>
      <c r="X28" s="15" t="s">
        <v>116</v>
      </c>
      <c r="Y28" s="15" t="s">
        <v>53</v>
      </c>
      <c r="Z28" s="15">
        <v>5.0</v>
      </c>
      <c r="AA28" s="15">
        <v>2.0</v>
      </c>
      <c r="AB28" s="15">
        <v>1.0</v>
      </c>
      <c r="AC28" s="15">
        <v>3.0</v>
      </c>
      <c r="AD28" s="15">
        <v>3.0</v>
      </c>
      <c r="AE28" s="15">
        <v>5.0</v>
      </c>
      <c r="AF28" s="15">
        <v>3.0</v>
      </c>
      <c r="AG28" s="15">
        <v>4.0</v>
      </c>
      <c r="AH28" s="15">
        <v>4.0</v>
      </c>
      <c r="AI28" s="15">
        <v>5.0</v>
      </c>
      <c r="AJ28" s="15">
        <v>5.0</v>
      </c>
      <c r="AN28" s="15">
        <v>5.0</v>
      </c>
      <c r="AO28" s="19" t="s">
        <v>54</v>
      </c>
      <c r="AP28" s="15">
        <v>21.0</v>
      </c>
      <c r="AQ28" s="15" t="s">
        <v>59</v>
      </c>
      <c r="AR28" s="15" t="s">
        <v>98</v>
      </c>
      <c r="AS28" s="15" t="s">
        <v>61</v>
      </c>
      <c r="AT28" s="15" t="s">
        <v>110</v>
      </c>
      <c r="AU28" s="15" t="s">
        <v>132</v>
      </c>
    </row>
    <row r="29">
      <c r="A29" s="14">
        <v>45068.56571646991</v>
      </c>
      <c r="B29" s="15" t="s">
        <v>53</v>
      </c>
      <c r="C29" s="15" t="s">
        <v>53</v>
      </c>
      <c r="D29" s="15" t="s">
        <v>65</v>
      </c>
      <c r="E29" s="15" t="s">
        <v>53</v>
      </c>
      <c r="F29" s="15">
        <v>3.0</v>
      </c>
      <c r="G29" s="15">
        <v>4.0</v>
      </c>
      <c r="H29" s="15">
        <v>4.0</v>
      </c>
      <c r="I29" s="15">
        <v>5.0</v>
      </c>
      <c r="J29" s="15">
        <v>1.0</v>
      </c>
      <c r="K29" s="15">
        <v>5.0</v>
      </c>
      <c r="L29" s="15">
        <v>1.0</v>
      </c>
      <c r="M29" s="15">
        <v>3.0</v>
      </c>
      <c r="N29" s="15">
        <v>5.0</v>
      </c>
      <c r="O29" s="15">
        <v>5.0</v>
      </c>
      <c r="P29" s="15">
        <v>5.0</v>
      </c>
      <c r="Q29" s="15" t="s">
        <v>55</v>
      </c>
      <c r="R29" s="15" t="s">
        <v>83</v>
      </c>
      <c r="S29" s="15" t="s">
        <v>56</v>
      </c>
      <c r="T29" s="22">
        <v>4.0</v>
      </c>
      <c r="U29" s="17">
        <v>-5.0</v>
      </c>
      <c r="V29" s="18">
        <v>-5.0</v>
      </c>
      <c r="W29" s="15" t="s">
        <v>80</v>
      </c>
      <c r="Y29" s="15" t="s">
        <v>53</v>
      </c>
      <c r="Z29" s="15">
        <v>3.0</v>
      </c>
      <c r="AA29" s="15">
        <v>4.0</v>
      </c>
      <c r="AB29" s="15">
        <v>4.0</v>
      </c>
      <c r="AC29" s="15">
        <v>5.0</v>
      </c>
      <c r="AD29" s="15">
        <v>1.0</v>
      </c>
      <c r="AE29" s="15">
        <v>5.0</v>
      </c>
      <c r="AF29" s="15">
        <v>1.0</v>
      </c>
      <c r="AG29" s="15">
        <v>3.0</v>
      </c>
      <c r="AH29" s="15">
        <v>5.0</v>
      </c>
      <c r="AI29" s="15">
        <v>5.0</v>
      </c>
      <c r="AJ29" s="15">
        <v>5.0</v>
      </c>
      <c r="AN29" s="15">
        <v>4.0</v>
      </c>
      <c r="AO29" s="19">
        <v>-5.0</v>
      </c>
      <c r="AP29" s="15">
        <v>23.0</v>
      </c>
      <c r="AQ29" s="15" t="s">
        <v>67</v>
      </c>
      <c r="AR29" s="15" t="s">
        <v>60</v>
      </c>
      <c r="AS29" s="15" t="s">
        <v>61</v>
      </c>
      <c r="AT29" s="15" t="s">
        <v>78</v>
      </c>
      <c r="AU29" s="15" t="s">
        <v>133</v>
      </c>
    </row>
    <row r="30">
      <c r="A30" s="14">
        <v>45068.565897569446</v>
      </c>
      <c r="B30" s="15" t="s">
        <v>53</v>
      </c>
      <c r="C30" s="15" t="s">
        <v>53</v>
      </c>
      <c r="D30" s="15" t="s">
        <v>54</v>
      </c>
      <c r="E30" s="15" t="s">
        <v>53</v>
      </c>
      <c r="F30" s="15">
        <v>5.0</v>
      </c>
      <c r="G30" s="15">
        <v>1.0</v>
      </c>
      <c r="H30" s="15">
        <v>1.0</v>
      </c>
      <c r="I30" s="15">
        <v>4.0</v>
      </c>
      <c r="J30" s="15">
        <v>4.0</v>
      </c>
      <c r="K30" s="15">
        <v>5.0</v>
      </c>
      <c r="L30" s="15">
        <v>2.0</v>
      </c>
      <c r="M30" s="15">
        <v>4.0</v>
      </c>
      <c r="N30" s="15">
        <v>5.0</v>
      </c>
      <c r="O30" s="15">
        <v>4.0</v>
      </c>
      <c r="P30" s="15">
        <v>4.0</v>
      </c>
      <c r="Q30" s="15" t="s">
        <v>55</v>
      </c>
      <c r="R30" s="15" t="s">
        <v>57</v>
      </c>
      <c r="S30" s="15" t="s">
        <v>92</v>
      </c>
      <c r="T30" s="22">
        <v>3.0</v>
      </c>
      <c r="U30" s="20">
        <f>+3</f>
        <v>3</v>
      </c>
      <c r="V30" s="21" t="s">
        <v>54</v>
      </c>
      <c r="X30" s="15" t="s">
        <v>73</v>
      </c>
      <c r="Y30" s="15" t="s">
        <v>53</v>
      </c>
      <c r="Z30" s="15">
        <v>5.0</v>
      </c>
      <c r="AA30" s="15">
        <v>1.0</v>
      </c>
      <c r="AB30" s="15">
        <v>1.0</v>
      </c>
      <c r="AC30" s="15">
        <v>4.0</v>
      </c>
      <c r="AD30" s="15">
        <v>4.0</v>
      </c>
      <c r="AE30" s="15">
        <v>5.0</v>
      </c>
      <c r="AF30" s="15">
        <v>2.0</v>
      </c>
      <c r="AG30" s="15">
        <v>4.0</v>
      </c>
      <c r="AH30" s="15">
        <v>5.0</v>
      </c>
      <c r="AI30" s="15">
        <v>4.0</v>
      </c>
      <c r="AJ30" s="15">
        <v>4.0</v>
      </c>
      <c r="AN30" s="15">
        <v>3.0</v>
      </c>
      <c r="AO30" s="19" t="s">
        <v>54</v>
      </c>
      <c r="AP30" s="15">
        <v>19.0</v>
      </c>
      <c r="AQ30" s="15" t="s">
        <v>67</v>
      </c>
      <c r="AR30" s="15" t="s">
        <v>60</v>
      </c>
      <c r="AS30" s="15" t="s">
        <v>61</v>
      </c>
      <c r="AT30" s="15" t="s">
        <v>69</v>
      </c>
      <c r="AU30" s="15" t="s">
        <v>134</v>
      </c>
      <c r="AV30" s="15" t="s">
        <v>129</v>
      </c>
    </row>
    <row r="31">
      <c r="A31" s="14">
        <v>45068.56602978009</v>
      </c>
      <c r="B31" s="15" t="s">
        <v>53</v>
      </c>
      <c r="C31" s="15" t="s">
        <v>53</v>
      </c>
      <c r="D31" s="15" t="s">
        <v>104</v>
      </c>
      <c r="E31" s="15" t="s">
        <v>53</v>
      </c>
      <c r="F31" s="15">
        <v>5.0</v>
      </c>
      <c r="G31" s="15">
        <v>4.0</v>
      </c>
      <c r="H31" s="15">
        <v>4.0</v>
      </c>
      <c r="I31" s="15">
        <v>5.0</v>
      </c>
      <c r="J31" s="15">
        <v>1.0</v>
      </c>
      <c r="K31" s="15">
        <v>4.0</v>
      </c>
      <c r="L31" s="15">
        <v>1.0</v>
      </c>
      <c r="M31" s="15">
        <v>4.0</v>
      </c>
      <c r="N31" s="15">
        <v>5.0</v>
      </c>
      <c r="O31" s="15">
        <v>5.0</v>
      </c>
      <c r="P31" s="15">
        <v>3.0</v>
      </c>
      <c r="Q31" s="15" t="s">
        <v>64</v>
      </c>
      <c r="R31" s="15" t="s">
        <v>55</v>
      </c>
      <c r="S31" s="15" t="s">
        <v>83</v>
      </c>
      <c r="T31" s="22">
        <v>4.0</v>
      </c>
      <c r="U31" s="17">
        <v>-5.0</v>
      </c>
      <c r="V31" s="18">
        <v>-5.0</v>
      </c>
      <c r="W31" s="15" t="s">
        <v>80</v>
      </c>
      <c r="Y31" s="15" t="s">
        <v>53</v>
      </c>
      <c r="Z31" s="15">
        <v>5.0</v>
      </c>
      <c r="AA31" s="15">
        <v>4.0</v>
      </c>
      <c r="AB31" s="15">
        <v>4.0</v>
      </c>
      <c r="AC31" s="15">
        <v>5.0</v>
      </c>
      <c r="AD31" s="15">
        <v>1.0</v>
      </c>
      <c r="AE31" s="15">
        <v>4.0</v>
      </c>
      <c r="AF31" s="15">
        <v>1.0</v>
      </c>
      <c r="AG31" s="15">
        <v>4.0</v>
      </c>
      <c r="AH31" s="15">
        <v>5.0</v>
      </c>
      <c r="AI31" s="15">
        <v>5.0</v>
      </c>
      <c r="AJ31" s="15">
        <v>3.0</v>
      </c>
      <c r="AN31" s="15">
        <v>4.0</v>
      </c>
      <c r="AO31" s="19">
        <v>-5.0</v>
      </c>
      <c r="AP31" s="15">
        <v>23.0</v>
      </c>
      <c r="AQ31" s="15" t="s">
        <v>67</v>
      </c>
      <c r="AR31" s="15" t="s">
        <v>60</v>
      </c>
      <c r="AS31" s="15" t="s">
        <v>61</v>
      </c>
      <c r="AT31" s="15" t="s">
        <v>78</v>
      </c>
      <c r="AU31" s="15" t="s">
        <v>135</v>
      </c>
    </row>
    <row r="32">
      <c r="A32" s="14">
        <v>45068.57265412037</v>
      </c>
      <c r="B32" s="15" t="s">
        <v>53</v>
      </c>
      <c r="C32" s="15" t="s">
        <v>53</v>
      </c>
      <c r="D32" s="15" t="s">
        <v>54</v>
      </c>
      <c r="E32" s="15" t="s">
        <v>53</v>
      </c>
      <c r="F32" s="15">
        <v>4.0</v>
      </c>
      <c r="G32" s="15">
        <v>2.0</v>
      </c>
      <c r="H32" s="15">
        <v>2.0</v>
      </c>
      <c r="I32" s="15">
        <v>4.0</v>
      </c>
      <c r="J32" s="15">
        <v>3.0</v>
      </c>
      <c r="K32" s="15">
        <v>4.0</v>
      </c>
      <c r="L32" s="15">
        <v>1.0</v>
      </c>
      <c r="M32" s="15">
        <v>3.0</v>
      </c>
      <c r="N32" s="15">
        <v>4.0</v>
      </c>
      <c r="O32" s="15">
        <v>4.0</v>
      </c>
      <c r="P32" s="15">
        <v>4.0</v>
      </c>
      <c r="Q32" s="15" t="s">
        <v>55</v>
      </c>
      <c r="R32" s="15" t="s">
        <v>56</v>
      </c>
      <c r="S32" s="15" t="s">
        <v>64</v>
      </c>
      <c r="T32" s="22">
        <v>3.0</v>
      </c>
      <c r="U32" s="17">
        <v>-2.0</v>
      </c>
      <c r="V32" s="18">
        <v>-2.0</v>
      </c>
      <c r="W32" s="15" t="s">
        <v>66</v>
      </c>
      <c r="Y32" s="15" t="s">
        <v>53</v>
      </c>
      <c r="Z32" s="15">
        <v>4.0</v>
      </c>
      <c r="AA32" s="15">
        <v>2.0</v>
      </c>
      <c r="AB32" s="15">
        <v>2.0</v>
      </c>
      <c r="AC32" s="15">
        <v>4.0</v>
      </c>
      <c r="AD32" s="15">
        <v>3.0</v>
      </c>
      <c r="AE32" s="15">
        <v>4.0</v>
      </c>
      <c r="AF32" s="15">
        <v>1.0</v>
      </c>
      <c r="AG32" s="15">
        <v>3.0</v>
      </c>
      <c r="AH32" s="15">
        <v>4.0</v>
      </c>
      <c r="AI32" s="15">
        <v>4.0</v>
      </c>
      <c r="AJ32" s="15">
        <v>4.0</v>
      </c>
      <c r="AN32" s="15">
        <v>3.0</v>
      </c>
      <c r="AO32" s="19">
        <v>-2.0</v>
      </c>
      <c r="AP32" s="15">
        <v>23.0</v>
      </c>
      <c r="AQ32" s="15" t="s">
        <v>67</v>
      </c>
      <c r="AR32" s="15" t="s">
        <v>122</v>
      </c>
      <c r="AS32" s="15" t="s">
        <v>61</v>
      </c>
      <c r="AT32" s="15" t="s">
        <v>99</v>
      </c>
      <c r="AU32" s="15" t="s">
        <v>136</v>
      </c>
    </row>
    <row r="33">
      <c r="A33" s="14">
        <v>45068.57499097222</v>
      </c>
      <c r="B33" s="15" t="s">
        <v>53</v>
      </c>
      <c r="C33" s="15" t="s">
        <v>53</v>
      </c>
      <c r="D33" s="15">
        <v>-5.0</v>
      </c>
      <c r="E33" s="15" t="s">
        <v>53</v>
      </c>
      <c r="F33" s="15">
        <v>2.0</v>
      </c>
      <c r="G33" s="15">
        <v>4.0</v>
      </c>
      <c r="H33" s="15">
        <v>3.0</v>
      </c>
      <c r="I33" s="15">
        <v>5.0</v>
      </c>
      <c r="J33" s="15">
        <v>1.0</v>
      </c>
      <c r="K33" s="15">
        <v>5.0</v>
      </c>
      <c r="L33" s="15">
        <v>1.0</v>
      </c>
      <c r="M33" s="15">
        <v>4.0</v>
      </c>
      <c r="N33" s="15">
        <v>4.0</v>
      </c>
      <c r="O33" s="15">
        <v>2.0</v>
      </c>
      <c r="P33" s="15">
        <v>4.0</v>
      </c>
      <c r="Q33" s="15" t="s">
        <v>55</v>
      </c>
      <c r="R33" s="15" t="s">
        <v>56</v>
      </c>
      <c r="S33" s="15" t="s">
        <v>64</v>
      </c>
      <c r="T33" s="23">
        <v>5.0</v>
      </c>
      <c r="U33" s="24">
        <v>-4.0</v>
      </c>
      <c r="V33" s="25"/>
      <c r="W33" s="15" t="s">
        <v>80</v>
      </c>
      <c r="AO33" s="26"/>
      <c r="AP33" s="15">
        <v>21.0</v>
      </c>
      <c r="AQ33" s="15" t="s">
        <v>67</v>
      </c>
      <c r="AR33" s="15" t="s">
        <v>137</v>
      </c>
      <c r="AS33" s="15" t="s">
        <v>61</v>
      </c>
      <c r="AT33" s="15" t="s">
        <v>138</v>
      </c>
      <c r="AU33" s="15" t="s">
        <v>139</v>
      </c>
    </row>
    <row r="34">
      <c r="A34" s="14">
        <v>45068.577686296296</v>
      </c>
      <c r="B34" s="15" t="s">
        <v>53</v>
      </c>
      <c r="C34" s="15" t="s">
        <v>53</v>
      </c>
      <c r="D34" s="15" t="s">
        <v>72</v>
      </c>
      <c r="E34" s="15" t="s">
        <v>53</v>
      </c>
      <c r="F34" s="15">
        <v>5.0</v>
      </c>
      <c r="G34" s="15">
        <v>2.0</v>
      </c>
      <c r="H34" s="15">
        <v>2.0</v>
      </c>
      <c r="I34" s="15">
        <v>4.0</v>
      </c>
      <c r="J34" s="15">
        <v>4.0</v>
      </c>
      <c r="K34" s="15">
        <v>4.0</v>
      </c>
      <c r="L34" s="15">
        <v>1.0</v>
      </c>
      <c r="M34" s="15">
        <v>4.0</v>
      </c>
      <c r="N34" s="15">
        <v>4.0</v>
      </c>
      <c r="O34" s="15">
        <v>4.0</v>
      </c>
      <c r="P34" s="15">
        <v>4.0</v>
      </c>
      <c r="Q34" s="15" t="s">
        <v>92</v>
      </c>
      <c r="R34" s="15" t="s">
        <v>83</v>
      </c>
      <c r="S34" s="15" t="s">
        <v>55</v>
      </c>
      <c r="T34" s="22">
        <v>5.0</v>
      </c>
      <c r="U34" s="20">
        <f>+2</f>
        <v>2</v>
      </c>
      <c r="V34" s="21" t="s">
        <v>65</v>
      </c>
      <c r="X34" s="15" t="s">
        <v>77</v>
      </c>
      <c r="Y34" s="15" t="s">
        <v>53</v>
      </c>
      <c r="Z34" s="15">
        <v>5.0</v>
      </c>
      <c r="AA34" s="15">
        <v>2.0</v>
      </c>
      <c r="AB34" s="15">
        <v>2.0</v>
      </c>
      <c r="AC34" s="15">
        <v>4.0</v>
      </c>
      <c r="AD34" s="15">
        <v>4.0</v>
      </c>
      <c r="AE34" s="15">
        <v>4.0</v>
      </c>
      <c r="AF34" s="15">
        <v>1.0</v>
      </c>
      <c r="AG34" s="15">
        <v>4.0</v>
      </c>
      <c r="AH34" s="15">
        <v>4.0</v>
      </c>
      <c r="AI34" s="15">
        <v>4.0</v>
      </c>
      <c r="AJ34" s="15">
        <v>4.0</v>
      </c>
      <c r="AN34" s="15">
        <v>5.0</v>
      </c>
      <c r="AO34" s="19" t="s">
        <v>65</v>
      </c>
      <c r="AP34" s="15">
        <v>30.0</v>
      </c>
      <c r="AQ34" s="15" t="s">
        <v>59</v>
      </c>
      <c r="AR34" s="15" t="s">
        <v>60</v>
      </c>
      <c r="AS34" s="15" t="s">
        <v>140</v>
      </c>
      <c r="AT34" s="15" t="s">
        <v>78</v>
      </c>
      <c r="AU34" s="15" t="s">
        <v>141</v>
      </c>
      <c r="AV34" s="15" t="s">
        <v>129</v>
      </c>
    </row>
    <row r="35">
      <c r="A35" s="14">
        <v>45068.57822905092</v>
      </c>
      <c r="B35" s="15" t="s">
        <v>53</v>
      </c>
      <c r="C35" s="15" t="s">
        <v>53</v>
      </c>
      <c r="D35" s="15">
        <v>-3.0</v>
      </c>
      <c r="E35" s="15" t="s">
        <v>53</v>
      </c>
      <c r="F35" s="15">
        <v>5.0</v>
      </c>
      <c r="G35" s="15">
        <v>1.0</v>
      </c>
      <c r="H35" s="15">
        <v>3.0</v>
      </c>
      <c r="I35" s="15">
        <v>5.0</v>
      </c>
      <c r="J35" s="15">
        <v>2.0</v>
      </c>
      <c r="K35" s="15">
        <v>4.0</v>
      </c>
      <c r="L35" s="15">
        <v>1.0</v>
      </c>
      <c r="M35" s="15">
        <v>3.0</v>
      </c>
      <c r="N35" s="15">
        <v>4.0</v>
      </c>
      <c r="O35" s="15">
        <v>4.0</v>
      </c>
      <c r="P35" s="15">
        <v>4.0</v>
      </c>
      <c r="Q35" s="15" t="s">
        <v>55</v>
      </c>
      <c r="R35" s="15" t="s">
        <v>56</v>
      </c>
      <c r="S35" s="15" t="s">
        <v>64</v>
      </c>
      <c r="T35" s="23">
        <v>5.0</v>
      </c>
      <c r="U35" s="24">
        <f>+1</f>
        <v>1</v>
      </c>
      <c r="V35" s="21"/>
      <c r="X35" s="15" t="s">
        <v>113</v>
      </c>
      <c r="AO35" s="26"/>
      <c r="AP35" s="15">
        <v>22.0</v>
      </c>
      <c r="AQ35" s="15" t="s">
        <v>67</v>
      </c>
      <c r="AR35" s="15" t="s">
        <v>60</v>
      </c>
      <c r="AS35" s="15" t="s">
        <v>61</v>
      </c>
      <c r="AT35" s="15" t="s">
        <v>78</v>
      </c>
      <c r="AU35" s="15" t="s">
        <v>142</v>
      </c>
      <c r="AV35" s="15" t="s">
        <v>129</v>
      </c>
    </row>
    <row r="36">
      <c r="A36" s="14">
        <v>45068.578501805554</v>
      </c>
      <c r="B36" s="15" t="s">
        <v>53</v>
      </c>
      <c r="C36" s="15" t="s">
        <v>53</v>
      </c>
      <c r="D36" s="15" t="s">
        <v>65</v>
      </c>
      <c r="E36" s="15" t="s">
        <v>53</v>
      </c>
      <c r="F36" s="15">
        <v>2.0</v>
      </c>
      <c r="G36" s="15">
        <v>3.0</v>
      </c>
      <c r="H36" s="15">
        <v>4.0</v>
      </c>
      <c r="I36" s="15">
        <v>5.0</v>
      </c>
      <c r="J36" s="15">
        <v>2.0</v>
      </c>
      <c r="K36" s="15">
        <v>4.0</v>
      </c>
      <c r="L36" s="15">
        <v>1.0</v>
      </c>
      <c r="M36" s="15">
        <v>2.0</v>
      </c>
      <c r="N36" s="15">
        <v>3.0</v>
      </c>
      <c r="O36" s="15">
        <v>2.0</v>
      </c>
      <c r="P36" s="15">
        <v>2.0</v>
      </c>
      <c r="Q36" s="15" t="s">
        <v>57</v>
      </c>
      <c r="R36" s="15" t="s">
        <v>56</v>
      </c>
      <c r="S36" s="15" t="s">
        <v>83</v>
      </c>
      <c r="T36" s="22">
        <v>5.0</v>
      </c>
      <c r="U36" s="17">
        <v>-1.0</v>
      </c>
      <c r="V36" s="18">
        <v>-1.0</v>
      </c>
      <c r="W36" s="15" t="s">
        <v>58</v>
      </c>
      <c r="Y36" s="15" t="s">
        <v>53</v>
      </c>
      <c r="Z36" s="15">
        <v>2.0</v>
      </c>
      <c r="AA36" s="15">
        <v>3.0</v>
      </c>
      <c r="AB36" s="15">
        <v>4.0</v>
      </c>
      <c r="AC36" s="15">
        <v>5.0</v>
      </c>
      <c r="AD36" s="15">
        <v>2.0</v>
      </c>
      <c r="AE36" s="15">
        <v>4.0</v>
      </c>
      <c r="AF36" s="15">
        <v>1.0</v>
      </c>
      <c r="AG36" s="15">
        <v>2.0</v>
      </c>
      <c r="AH36" s="15">
        <v>3.0</v>
      </c>
      <c r="AI36" s="15">
        <v>2.0</v>
      </c>
      <c r="AJ36" s="15">
        <v>2.0</v>
      </c>
      <c r="AN36" s="15">
        <v>5.0</v>
      </c>
      <c r="AO36" s="19">
        <v>-1.0</v>
      </c>
      <c r="AP36" s="15">
        <v>22.0</v>
      </c>
      <c r="AQ36" s="15" t="s">
        <v>67</v>
      </c>
      <c r="AR36" s="15" t="s">
        <v>120</v>
      </c>
      <c r="AS36" s="15" t="s">
        <v>61</v>
      </c>
      <c r="AT36" s="15" t="s">
        <v>78</v>
      </c>
      <c r="AU36" s="15" t="s">
        <v>143</v>
      </c>
    </row>
    <row r="37">
      <c r="A37" s="14">
        <v>45068.578506550926</v>
      </c>
      <c r="B37" s="15" t="s">
        <v>53</v>
      </c>
      <c r="C37" s="15" t="s">
        <v>53</v>
      </c>
      <c r="D37" s="15" t="s">
        <v>85</v>
      </c>
      <c r="E37" s="15" t="s">
        <v>53</v>
      </c>
      <c r="F37" s="15">
        <v>4.0</v>
      </c>
      <c r="G37" s="15">
        <v>2.0</v>
      </c>
      <c r="H37" s="15">
        <v>2.0</v>
      </c>
      <c r="I37" s="15">
        <v>5.0</v>
      </c>
      <c r="J37" s="15">
        <v>3.0</v>
      </c>
      <c r="K37" s="15">
        <v>5.0</v>
      </c>
      <c r="L37" s="15">
        <v>2.0</v>
      </c>
      <c r="M37" s="15">
        <v>4.0</v>
      </c>
      <c r="N37" s="15">
        <v>4.0</v>
      </c>
      <c r="O37" s="15">
        <v>4.0</v>
      </c>
      <c r="P37" s="15">
        <v>4.0</v>
      </c>
      <c r="Q37" s="15" t="s">
        <v>64</v>
      </c>
      <c r="R37" s="15" t="s">
        <v>55</v>
      </c>
      <c r="S37" s="15" t="s">
        <v>92</v>
      </c>
      <c r="T37" s="22">
        <v>4.0</v>
      </c>
      <c r="U37" s="17">
        <v>-2.0</v>
      </c>
      <c r="V37" s="18">
        <v>-2.0</v>
      </c>
      <c r="W37" s="15" t="s">
        <v>80</v>
      </c>
      <c r="Y37" s="15" t="s">
        <v>53</v>
      </c>
      <c r="Z37" s="15">
        <v>4.0</v>
      </c>
      <c r="AA37" s="15">
        <v>2.0</v>
      </c>
      <c r="AB37" s="15">
        <v>2.0</v>
      </c>
      <c r="AC37" s="15">
        <v>5.0</v>
      </c>
      <c r="AD37" s="15">
        <v>3.0</v>
      </c>
      <c r="AE37" s="15">
        <v>5.0</v>
      </c>
      <c r="AF37" s="15">
        <v>2.0</v>
      </c>
      <c r="AG37" s="15">
        <v>4.0</v>
      </c>
      <c r="AH37" s="15">
        <v>4.0</v>
      </c>
      <c r="AI37" s="15">
        <v>4.0</v>
      </c>
      <c r="AJ37" s="15">
        <v>4.0</v>
      </c>
      <c r="AN37" s="15">
        <v>4.0</v>
      </c>
      <c r="AO37" s="19">
        <v>-2.0</v>
      </c>
      <c r="AP37" s="15">
        <v>19.0</v>
      </c>
      <c r="AQ37" s="15" t="s">
        <v>67</v>
      </c>
      <c r="AR37" s="15" t="s">
        <v>68</v>
      </c>
      <c r="AS37" s="15" t="s">
        <v>61</v>
      </c>
      <c r="AT37" s="15" t="s">
        <v>99</v>
      </c>
      <c r="AU37" s="15" t="s">
        <v>144</v>
      </c>
    </row>
    <row r="38">
      <c r="A38" s="14">
        <v>45068.58001508102</v>
      </c>
      <c r="B38" s="15" t="s">
        <v>53</v>
      </c>
      <c r="C38" s="15" t="s">
        <v>53</v>
      </c>
      <c r="D38" s="15" t="s">
        <v>54</v>
      </c>
      <c r="E38" s="15" t="s">
        <v>97</v>
      </c>
      <c r="F38" s="15">
        <v>3.0</v>
      </c>
      <c r="G38" s="15">
        <v>1.0</v>
      </c>
      <c r="H38" s="15">
        <v>1.0</v>
      </c>
      <c r="I38" s="15">
        <v>4.0</v>
      </c>
      <c r="J38" s="15">
        <v>4.0</v>
      </c>
      <c r="K38" s="15">
        <v>2.0</v>
      </c>
      <c r="L38" s="15">
        <v>3.0</v>
      </c>
      <c r="M38" s="15">
        <v>2.0</v>
      </c>
      <c r="N38" s="15">
        <v>3.0</v>
      </c>
      <c r="O38" s="15">
        <v>2.0</v>
      </c>
      <c r="P38" s="15">
        <v>3.0</v>
      </c>
      <c r="Q38" s="15" t="s">
        <v>55</v>
      </c>
      <c r="R38" s="15" t="s">
        <v>56</v>
      </c>
      <c r="S38" s="15" t="s">
        <v>64</v>
      </c>
      <c r="T38" s="22">
        <v>4.0</v>
      </c>
      <c r="U38" s="20">
        <f>+3</f>
        <v>3</v>
      </c>
      <c r="V38" s="21" t="s">
        <v>54</v>
      </c>
      <c r="X38" s="15" t="s">
        <v>77</v>
      </c>
      <c r="Y38" s="15" t="s">
        <v>97</v>
      </c>
      <c r="Z38" s="15">
        <v>3.0</v>
      </c>
      <c r="AA38" s="15">
        <v>1.0</v>
      </c>
      <c r="AB38" s="15">
        <v>1.0</v>
      </c>
      <c r="AC38" s="15">
        <v>4.0</v>
      </c>
      <c r="AD38" s="15">
        <v>4.0</v>
      </c>
      <c r="AE38" s="15">
        <v>2.0</v>
      </c>
      <c r="AF38" s="15">
        <v>3.0</v>
      </c>
      <c r="AG38" s="15">
        <v>2.0</v>
      </c>
      <c r="AH38" s="15">
        <v>3.0</v>
      </c>
      <c r="AI38" s="15">
        <v>2.0</v>
      </c>
      <c r="AJ38" s="15">
        <v>3.0</v>
      </c>
      <c r="AN38" s="15">
        <v>4.0</v>
      </c>
      <c r="AO38" s="19" t="s">
        <v>54</v>
      </c>
      <c r="AP38" s="15">
        <v>21.0</v>
      </c>
      <c r="AQ38" s="15" t="s">
        <v>67</v>
      </c>
      <c r="AR38" s="15" t="s">
        <v>60</v>
      </c>
      <c r="AS38" s="15" t="s">
        <v>61</v>
      </c>
      <c r="AT38" s="15" t="s">
        <v>78</v>
      </c>
      <c r="AU38" s="15" t="s">
        <v>145</v>
      </c>
    </row>
    <row r="39">
      <c r="A39" s="14">
        <v>45068.58207975695</v>
      </c>
      <c r="B39" s="15" t="s">
        <v>53</v>
      </c>
      <c r="C39" s="15" t="s">
        <v>53</v>
      </c>
      <c r="D39" s="15" t="s">
        <v>54</v>
      </c>
      <c r="E39" s="15" t="s">
        <v>53</v>
      </c>
      <c r="F39" s="15">
        <v>5.0</v>
      </c>
      <c r="G39" s="15">
        <v>1.0</v>
      </c>
      <c r="H39" s="15">
        <v>2.0</v>
      </c>
      <c r="I39" s="15">
        <v>3.0</v>
      </c>
      <c r="J39" s="15">
        <v>3.0</v>
      </c>
      <c r="K39" s="15">
        <v>2.0</v>
      </c>
      <c r="L39" s="15">
        <v>2.0</v>
      </c>
      <c r="M39" s="15">
        <v>1.0</v>
      </c>
      <c r="N39" s="15">
        <v>2.0</v>
      </c>
      <c r="O39" s="15">
        <v>2.0</v>
      </c>
      <c r="P39" s="15">
        <v>2.0</v>
      </c>
      <c r="Q39" s="15" t="s">
        <v>55</v>
      </c>
      <c r="R39" s="15" t="s">
        <v>83</v>
      </c>
      <c r="S39" s="15" t="s">
        <v>92</v>
      </c>
      <c r="T39" s="22">
        <v>1.0</v>
      </c>
      <c r="U39" s="20">
        <f t="shared" ref="U39:U40" si="1">+2</f>
        <v>2</v>
      </c>
      <c r="V39" s="21" t="s">
        <v>65</v>
      </c>
      <c r="X39" s="15" t="s">
        <v>73</v>
      </c>
      <c r="Y39" s="15" t="s">
        <v>53</v>
      </c>
      <c r="Z39" s="15">
        <v>5.0</v>
      </c>
      <c r="AA39" s="15">
        <v>1.0</v>
      </c>
      <c r="AB39" s="15">
        <v>2.0</v>
      </c>
      <c r="AC39" s="15">
        <v>3.0</v>
      </c>
      <c r="AD39" s="15">
        <v>3.0</v>
      </c>
      <c r="AE39" s="15">
        <v>2.0</v>
      </c>
      <c r="AF39" s="15">
        <v>2.0</v>
      </c>
      <c r="AG39" s="15">
        <v>1.0</v>
      </c>
      <c r="AH39" s="15">
        <v>2.0</v>
      </c>
      <c r="AI39" s="15">
        <v>2.0</v>
      </c>
      <c r="AJ39" s="15">
        <v>2.0</v>
      </c>
      <c r="AN39" s="15">
        <v>1.0</v>
      </c>
      <c r="AO39" s="19" t="s">
        <v>65</v>
      </c>
      <c r="AP39" s="15">
        <v>40.0</v>
      </c>
      <c r="AQ39" s="15" t="s">
        <v>67</v>
      </c>
      <c r="AR39" s="15" t="s">
        <v>60</v>
      </c>
      <c r="AS39" s="15" t="s">
        <v>61</v>
      </c>
      <c r="AT39" s="15" t="s">
        <v>93</v>
      </c>
      <c r="AU39" s="15" t="s">
        <v>146</v>
      </c>
      <c r="AV39" s="15" t="s">
        <v>147</v>
      </c>
    </row>
    <row r="40">
      <c r="A40" s="14">
        <v>45068.5841622338</v>
      </c>
      <c r="B40" s="15" t="s">
        <v>53</v>
      </c>
      <c r="C40" s="15" t="s">
        <v>53</v>
      </c>
      <c r="D40" s="15" t="s">
        <v>54</v>
      </c>
      <c r="E40" s="15" t="s">
        <v>53</v>
      </c>
      <c r="F40" s="15">
        <v>4.0</v>
      </c>
      <c r="G40" s="15">
        <v>2.0</v>
      </c>
      <c r="H40" s="15">
        <v>2.0</v>
      </c>
      <c r="I40" s="15">
        <v>5.0</v>
      </c>
      <c r="J40" s="15">
        <v>2.0</v>
      </c>
      <c r="K40" s="15">
        <v>4.0</v>
      </c>
      <c r="L40" s="15">
        <v>3.0</v>
      </c>
      <c r="M40" s="15">
        <v>2.0</v>
      </c>
      <c r="N40" s="15">
        <v>3.0</v>
      </c>
      <c r="O40" s="15">
        <v>3.0</v>
      </c>
      <c r="P40" s="15">
        <v>2.0</v>
      </c>
      <c r="Q40" s="15" t="s">
        <v>64</v>
      </c>
      <c r="R40" s="15" t="s">
        <v>92</v>
      </c>
      <c r="S40" s="15" t="s">
        <v>55</v>
      </c>
      <c r="T40" s="22">
        <v>4.0</v>
      </c>
      <c r="U40" s="20">
        <f t="shared" si="1"/>
        <v>2</v>
      </c>
      <c r="V40" s="21" t="s">
        <v>65</v>
      </c>
      <c r="X40" s="15" t="s">
        <v>77</v>
      </c>
      <c r="Y40" s="15" t="s">
        <v>53</v>
      </c>
      <c r="Z40" s="15">
        <v>4.0</v>
      </c>
      <c r="AA40" s="15">
        <v>2.0</v>
      </c>
      <c r="AB40" s="15">
        <v>2.0</v>
      </c>
      <c r="AC40" s="15">
        <v>5.0</v>
      </c>
      <c r="AD40" s="15">
        <v>2.0</v>
      </c>
      <c r="AE40" s="15">
        <v>4.0</v>
      </c>
      <c r="AF40" s="15">
        <v>3.0</v>
      </c>
      <c r="AG40" s="15">
        <v>2.0</v>
      </c>
      <c r="AH40" s="15">
        <v>3.0</v>
      </c>
      <c r="AI40" s="15">
        <v>3.0</v>
      </c>
      <c r="AJ40" s="15">
        <v>2.0</v>
      </c>
      <c r="AN40" s="15">
        <v>4.0</v>
      </c>
      <c r="AO40" s="19" t="s">
        <v>65</v>
      </c>
      <c r="AP40" s="15">
        <v>20.0</v>
      </c>
      <c r="AQ40" s="15" t="s">
        <v>67</v>
      </c>
      <c r="AR40" s="15" t="s">
        <v>60</v>
      </c>
      <c r="AS40" s="15" t="s">
        <v>61</v>
      </c>
      <c r="AT40" s="15" t="s">
        <v>78</v>
      </c>
      <c r="AU40" s="15" t="s">
        <v>148</v>
      </c>
    </row>
    <row r="41">
      <c r="A41" s="14">
        <v>45068.585865636574</v>
      </c>
      <c r="B41" s="15" t="s">
        <v>53</v>
      </c>
      <c r="C41" s="15" t="s">
        <v>53</v>
      </c>
      <c r="D41" s="15">
        <v>-1.0</v>
      </c>
      <c r="E41" s="15" t="s">
        <v>53</v>
      </c>
      <c r="F41" s="15">
        <v>2.0</v>
      </c>
      <c r="G41" s="15">
        <v>4.0</v>
      </c>
      <c r="H41" s="15">
        <v>3.0</v>
      </c>
      <c r="I41" s="15">
        <v>5.0</v>
      </c>
      <c r="J41" s="15">
        <v>1.0</v>
      </c>
      <c r="K41" s="15">
        <v>3.0</v>
      </c>
      <c r="L41" s="15">
        <v>3.0</v>
      </c>
      <c r="M41" s="15">
        <v>2.0</v>
      </c>
      <c r="N41" s="15">
        <v>1.0</v>
      </c>
      <c r="O41" s="15">
        <v>2.0</v>
      </c>
      <c r="P41" s="15">
        <v>2.0</v>
      </c>
      <c r="Q41" s="15" t="s">
        <v>57</v>
      </c>
      <c r="R41" s="15" t="s">
        <v>55</v>
      </c>
      <c r="S41" s="15" t="s">
        <v>86</v>
      </c>
      <c r="T41" s="23">
        <v>5.0</v>
      </c>
      <c r="U41" s="24">
        <f>+1</f>
        <v>1</v>
      </c>
      <c r="V41" s="21"/>
      <c r="X41" s="15" t="s">
        <v>116</v>
      </c>
      <c r="AO41" s="26"/>
      <c r="AP41" s="15">
        <v>21.0</v>
      </c>
      <c r="AQ41" s="15" t="s">
        <v>67</v>
      </c>
      <c r="AR41" s="15" t="s">
        <v>68</v>
      </c>
      <c r="AS41" s="15" t="s">
        <v>61</v>
      </c>
      <c r="AT41" s="15" t="s">
        <v>78</v>
      </c>
      <c r="AU41" s="15" t="s">
        <v>149</v>
      </c>
    </row>
    <row r="42">
      <c r="A42" s="14">
        <v>45068.58640537037</v>
      </c>
      <c r="B42" s="15" t="s">
        <v>53</v>
      </c>
      <c r="C42" s="15" t="s">
        <v>53</v>
      </c>
      <c r="D42" s="15" t="s">
        <v>54</v>
      </c>
      <c r="E42" s="15" t="s">
        <v>53</v>
      </c>
      <c r="F42" s="15">
        <v>5.0</v>
      </c>
      <c r="G42" s="15">
        <v>1.0</v>
      </c>
      <c r="H42" s="15">
        <v>1.0</v>
      </c>
      <c r="I42" s="15">
        <v>4.0</v>
      </c>
      <c r="J42" s="15">
        <v>5.0</v>
      </c>
      <c r="K42" s="15">
        <v>2.0</v>
      </c>
      <c r="L42" s="15">
        <v>3.0</v>
      </c>
      <c r="M42" s="15">
        <v>2.0</v>
      </c>
      <c r="N42" s="15">
        <v>1.0</v>
      </c>
      <c r="O42" s="15">
        <v>2.0</v>
      </c>
      <c r="P42" s="15">
        <v>1.0</v>
      </c>
      <c r="Q42" s="15" t="s">
        <v>57</v>
      </c>
      <c r="R42" s="15" t="s">
        <v>55</v>
      </c>
      <c r="S42" s="15" t="s">
        <v>64</v>
      </c>
      <c r="T42" s="22">
        <v>4.0</v>
      </c>
      <c r="U42" s="17">
        <v>-2.0</v>
      </c>
      <c r="V42" s="18">
        <v>-2.0</v>
      </c>
      <c r="W42" s="15" t="s">
        <v>58</v>
      </c>
      <c r="Y42" s="15" t="s">
        <v>53</v>
      </c>
      <c r="Z42" s="15">
        <v>5.0</v>
      </c>
      <c r="AA42" s="15">
        <v>1.0</v>
      </c>
      <c r="AB42" s="15">
        <v>1.0</v>
      </c>
      <c r="AC42" s="15">
        <v>4.0</v>
      </c>
      <c r="AD42" s="15">
        <v>5.0</v>
      </c>
      <c r="AE42" s="15">
        <v>2.0</v>
      </c>
      <c r="AF42" s="15">
        <v>3.0</v>
      </c>
      <c r="AG42" s="15">
        <v>2.0</v>
      </c>
      <c r="AH42" s="15">
        <v>1.0</v>
      </c>
      <c r="AI42" s="15">
        <v>2.0</v>
      </c>
      <c r="AJ42" s="15">
        <v>1.0</v>
      </c>
      <c r="AN42" s="15">
        <v>4.0</v>
      </c>
      <c r="AO42" s="19">
        <v>-2.0</v>
      </c>
      <c r="AP42" s="15">
        <v>33.0</v>
      </c>
      <c r="AQ42" s="15" t="s">
        <v>67</v>
      </c>
      <c r="AR42" s="15" t="s">
        <v>60</v>
      </c>
      <c r="AS42" s="15" t="s">
        <v>61</v>
      </c>
      <c r="AT42" s="15" t="s">
        <v>105</v>
      </c>
      <c r="AU42" s="15" t="s">
        <v>150</v>
      </c>
    </row>
    <row r="43">
      <c r="A43" s="14">
        <v>45068.58742871528</v>
      </c>
      <c r="B43" s="15" t="s">
        <v>53</v>
      </c>
      <c r="C43" s="15" t="s">
        <v>53</v>
      </c>
      <c r="D43" s="15" t="s">
        <v>72</v>
      </c>
      <c r="E43" s="15" t="s">
        <v>53</v>
      </c>
      <c r="F43" s="15">
        <v>4.0</v>
      </c>
      <c r="G43" s="15">
        <v>2.0</v>
      </c>
      <c r="H43" s="15">
        <v>2.0</v>
      </c>
      <c r="I43" s="15">
        <v>5.0</v>
      </c>
      <c r="J43" s="15">
        <v>1.0</v>
      </c>
      <c r="K43" s="15">
        <v>5.0</v>
      </c>
      <c r="L43" s="15">
        <v>1.0</v>
      </c>
      <c r="M43" s="15">
        <v>3.0</v>
      </c>
      <c r="N43" s="15">
        <v>4.0</v>
      </c>
      <c r="O43" s="15">
        <v>3.0</v>
      </c>
      <c r="P43" s="15">
        <v>4.0</v>
      </c>
      <c r="Q43" s="15" t="s">
        <v>64</v>
      </c>
      <c r="R43" s="15" t="s">
        <v>55</v>
      </c>
      <c r="S43" s="15" t="s">
        <v>57</v>
      </c>
      <c r="T43" s="22">
        <v>4.0</v>
      </c>
      <c r="U43" s="17">
        <v>-3.0</v>
      </c>
      <c r="V43" s="18">
        <v>-3.0</v>
      </c>
      <c r="W43" s="15" t="s">
        <v>80</v>
      </c>
      <c r="Y43" s="15" t="s">
        <v>53</v>
      </c>
      <c r="Z43" s="15">
        <v>4.0</v>
      </c>
      <c r="AA43" s="15">
        <v>2.0</v>
      </c>
      <c r="AB43" s="15">
        <v>2.0</v>
      </c>
      <c r="AC43" s="15">
        <v>5.0</v>
      </c>
      <c r="AD43" s="15">
        <v>1.0</v>
      </c>
      <c r="AE43" s="15">
        <v>5.0</v>
      </c>
      <c r="AF43" s="15">
        <v>1.0</v>
      </c>
      <c r="AG43" s="15">
        <v>3.0</v>
      </c>
      <c r="AH43" s="15">
        <v>4.0</v>
      </c>
      <c r="AI43" s="15">
        <v>3.0</v>
      </c>
      <c r="AJ43" s="15">
        <v>4.0</v>
      </c>
      <c r="AN43" s="15">
        <v>4.0</v>
      </c>
      <c r="AO43" s="19">
        <v>-3.0</v>
      </c>
      <c r="AP43" s="15">
        <v>20.0</v>
      </c>
      <c r="AQ43" s="15" t="s">
        <v>67</v>
      </c>
      <c r="AR43" s="15" t="s">
        <v>60</v>
      </c>
      <c r="AS43" s="15" t="s">
        <v>61</v>
      </c>
      <c r="AT43" s="15" t="s">
        <v>151</v>
      </c>
      <c r="AU43" s="15" t="s">
        <v>152</v>
      </c>
    </row>
    <row r="44">
      <c r="A44" s="14">
        <v>45068.588000821765</v>
      </c>
      <c r="B44" s="15" t="s">
        <v>53</v>
      </c>
      <c r="C44" s="15" t="s">
        <v>53</v>
      </c>
      <c r="D44" s="15">
        <v>-3.0</v>
      </c>
      <c r="E44" s="15" t="s">
        <v>53</v>
      </c>
      <c r="F44" s="15">
        <v>5.0</v>
      </c>
      <c r="G44" s="15">
        <v>1.0</v>
      </c>
      <c r="H44" s="15">
        <v>1.0</v>
      </c>
      <c r="I44" s="15">
        <v>3.0</v>
      </c>
      <c r="J44" s="15">
        <v>3.0</v>
      </c>
      <c r="K44" s="15">
        <v>5.0</v>
      </c>
      <c r="L44" s="15">
        <v>1.0</v>
      </c>
      <c r="M44" s="15">
        <v>1.0</v>
      </c>
      <c r="N44" s="15">
        <v>1.0</v>
      </c>
      <c r="O44" s="15">
        <v>1.0</v>
      </c>
      <c r="P44" s="15">
        <v>2.0</v>
      </c>
      <c r="Q44" s="15" t="s">
        <v>57</v>
      </c>
      <c r="R44" s="15" t="s">
        <v>86</v>
      </c>
      <c r="S44" s="15" t="s">
        <v>92</v>
      </c>
      <c r="T44" s="23">
        <v>5.0</v>
      </c>
      <c r="U44" s="24">
        <v>-1.0</v>
      </c>
      <c r="V44" s="25"/>
      <c r="W44" s="15" t="s">
        <v>102</v>
      </c>
      <c r="AO44" s="26"/>
      <c r="AP44" s="15">
        <v>23.0</v>
      </c>
      <c r="AQ44" s="15" t="s">
        <v>67</v>
      </c>
      <c r="AR44" s="15" t="s">
        <v>68</v>
      </c>
      <c r="AS44" s="15" t="s">
        <v>61</v>
      </c>
      <c r="AT44" s="15" t="s">
        <v>69</v>
      </c>
      <c r="AU44" s="15" t="s">
        <v>153</v>
      </c>
    </row>
    <row r="45">
      <c r="A45" s="14">
        <v>45068.588515613425</v>
      </c>
      <c r="B45" s="15" t="s">
        <v>53</v>
      </c>
      <c r="C45" s="15" t="s">
        <v>53</v>
      </c>
      <c r="D45" s="15">
        <v>-5.0</v>
      </c>
      <c r="E45" s="15" t="s">
        <v>53</v>
      </c>
      <c r="F45" s="15">
        <v>4.0</v>
      </c>
      <c r="G45" s="15">
        <v>2.0</v>
      </c>
      <c r="H45" s="15">
        <v>3.0</v>
      </c>
      <c r="I45" s="15">
        <v>3.0</v>
      </c>
      <c r="J45" s="15">
        <v>5.0</v>
      </c>
      <c r="K45" s="15">
        <v>3.0</v>
      </c>
      <c r="L45" s="15">
        <v>2.0</v>
      </c>
      <c r="M45" s="15">
        <v>3.0</v>
      </c>
      <c r="N45" s="15">
        <v>5.0</v>
      </c>
      <c r="O45" s="15">
        <v>1.0</v>
      </c>
      <c r="P45" s="15">
        <v>4.0</v>
      </c>
      <c r="Q45" s="15" t="s">
        <v>92</v>
      </c>
      <c r="R45" s="15" t="s">
        <v>107</v>
      </c>
      <c r="S45" s="15" t="s">
        <v>86</v>
      </c>
      <c r="T45" s="23">
        <v>1.0</v>
      </c>
      <c r="U45" s="24">
        <f>+4</f>
        <v>4</v>
      </c>
      <c r="V45" s="21"/>
      <c r="X45" s="15" t="s">
        <v>66</v>
      </c>
      <c r="AO45" s="26"/>
      <c r="AP45" s="15">
        <v>20.0</v>
      </c>
      <c r="AQ45" s="15" t="s">
        <v>59</v>
      </c>
      <c r="AR45" s="15" t="s">
        <v>154</v>
      </c>
      <c r="AS45" s="15" t="s">
        <v>61</v>
      </c>
      <c r="AT45" s="15" t="s">
        <v>69</v>
      </c>
      <c r="AU45" s="15" t="s">
        <v>155</v>
      </c>
    </row>
    <row r="46">
      <c r="A46" s="14">
        <v>45068.590575625</v>
      </c>
      <c r="B46" s="15" t="s">
        <v>53</v>
      </c>
      <c r="C46" s="15" t="s">
        <v>53</v>
      </c>
      <c r="D46" s="15" t="s">
        <v>65</v>
      </c>
      <c r="E46" s="15" t="s">
        <v>53</v>
      </c>
      <c r="F46" s="15">
        <v>3.0</v>
      </c>
      <c r="G46" s="15">
        <v>2.0</v>
      </c>
      <c r="H46" s="15">
        <v>2.0</v>
      </c>
      <c r="I46" s="15">
        <v>4.0</v>
      </c>
      <c r="J46" s="15">
        <v>3.0</v>
      </c>
      <c r="K46" s="15">
        <v>5.0</v>
      </c>
      <c r="L46" s="15">
        <v>2.0</v>
      </c>
      <c r="M46" s="15">
        <v>4.0</v>
      </c>
      <c r="N46" s="15">
        <v>4.0</v>
      </c>
      <c r="O46" s="15">
        <v>4.0</v>
      </c>
      <c r="P46" s="15">
        <v>5.0</v>
      </c>
      <c r="Q46" s="15" t="s">
        <v>55</v>
      </c>
      <c r="R46" s="15" t="s">
        <v>64</v>
      </c>
      <c r="S46" s="15" t="s">
        <v>57</v>
      </c>
      <c r="T46" s="22">
        <v>4.0</v>
      </c>
      <c r="U46" s="20">
        <f>+1</f>
        <v>1</v>
      </c>
      <c r="V46" s="21" t="s">
        <v>72</v>
      </c>
      <c r="X46" s="15" t="s">
        <v>77</v>
      </c>
      <c r="Y46" s="15" t="s">
        <v>53</v>
      </c>
      <c r="Z46" s="15">
        <v>3.0</v>
      </c>
      <c r="AA46" s="15">
        <v>2.0</v>
      </c>
      <c r="AB46" s="15">
        <v>2.0</v>
      </c>
      <c r="AC46" s="15">
        <v>4.0</v>
      </c>
      <c r="AD46" s="15">
        <v>3.0</v>
      </c>
      <c r="AE46" s="15">
        <v>5.0</v>
      </c>
      <c r="AF46" s="15">
        <v>2.0</v>
      </c>
      <c r="AG46" s="15">
        <v>4.0</v>
      </c>
      <c r="AH46" s="15">
        <v>4.0</v>
      </c>
      <c r="AI46" s="15">
        <v>4.0</v>
      </c>
      <c r="AJ46" s="15">
        <v>5.0</v>
      </c>
      <c r="AN46" s="15">
        <v>4.0</v>
      </c>
      <c r="AO46" s="19" t="s">
        <v>72</v>
      </c>
      <c r="AP46" s="15">
        <v>21.0</v>
      </c>
      <c r="AQ46" s="15" t="s">
        <v>67</v>
      </c>
      <c r="AR46" s="15" t="s">
        <v>60</v>
      </c>
      <c r="AS46" s="15" t="s">
        <v>61</v>
      </c>
      <c r="AT46" s="15" t="s">
        <v>78</v>
      </c>
      <c r="AU46" s="15" t="s">
        <v>156</v>
      </c>
    </row>
    <row r="47">
      <c r="A47" s="14">
        <v>45068.59058709491</v>
      </c>
      <c r="B47" s="15" t="s">
        <v>53</v>
      </c>
      <c r="C47" s="15" t="s">
        <v>53</v>
      </c>
      <c r="D47" s="15" t="s">
        <v>65</v>
      </c>
      <c r="E47" s="15" t="s">
        <v>53</v>
      </c>
      <c r="F47" s="15">
        <v>4.0</v>
      </c>
      <c r="G47" s="15">
        <v>2.0</v>
      </c>
      <c r="H47" s="15">
        <v>1.0</v>
      </c>
      <c r="I47" s="15">
        <v>5.0</v>
      </c>
      <c r="J47" s="15">
        <v>3.0</v>
      </c>
      <c r="K47" s="15">
        <v>4.0</v>
      </c>
      <c r="L47" s="15">
        <v>1.0</v>
      </c>
      <c r="M47" s="15">
        <v>4.0</v>
      </c>
      <c r="N47" s="15">
        <v>4.0</v>
      </c>
      <c r="O47" s="15">
        <v>3.0</v>
      </c>
      <c r="P47" s="15">
        <v>3.0</v>
      </c>
      <c r="Q47" s="15" t="s">
        <v>57</v>
      </c>
      <c r="R47" s="15" t="s">
        <v>56</v>
      </c>
      <c r="S47" s="15" t="s">
        <v>55</v>
      </c>
      <c r="T47" s="22">
        <v>5.0</v>
      </c>
      <c r="U47" s="20">
        <f>+2</f>
        <v>2</v>
      </c>
      <c r="V47" s="21" t="s">
        <v>65</v>
      </c>
      <c r="X47" s="15" t="s">
        <v>77</v>
      </c>
      <c r="Y47" s="15" t="s">
        <v>53</v>
      </c>
      <c r="Z47" s="15">
        <v>4.0</v>
      </c>
      <c r="AA47" s="15">
        <v>2.0</v>
      </c>
      <c r="AB47" s="15">
        <v>1.0</v>
      </c>
      <c r="AC47" s="15">
        <v>5.0</v>
      </c>
      <c r="AD47" s="15">
        <v>3.0</v>
      </c>
      <c r="AE47" s="15">
        <v>4.0</v>
      </c>
      <c r="AF47" s="15">
        <v>1.0</v>
      </c>
      <c r="AG47" s="15">
        <v>4.0</v>
      </c>
      <c r="AH47" s="15">
        <v>4.0</v>
      </c>
      <c r="AI47" s="15">
        <v>3.0</v>
      </c>
      <c r="AJ47" s="15">
        <v>3.0</v>
      </c>
      <c r="AN47" s="15">
        <v>5.0</v>
      </c>
      <c r="AO47" s="19" t="s">
        <v>65</v>
      </c>
      <c r="AP47" s="15">
        <v>19.0</v>
      </c>
      <c r="AQ47" s="15" t="s">
        <v>67</v>
      </c>
      <c r="AR47" s="15" t="s">
        <v>68</v>
      </c>
      <c r="AS47" s="15" t="s">
        <v>61</v>
      </c>
      <c r="AT47" s="15" t="s">
        <v>78</v>
      </c>
      <c r="AU47" s="15" t="s">
        <v>157</v>
      </c>
      <c r="AV47" s="15" t="s">
        <v>158</v>
      </c>
    </row>
    <row r="48">
      <c r="A48" s="14">
        <v>45068.590871168984</v>
      </c>
      <c r="B48" s="15" t="s">
        <v>53</v>
      </c>
      <c r="C48" s="15" t="s">
        <v>53</v>
      </c>
      <c r="D48" s="15" t="s">
        <v>54</v>
      </c>
      <c r="E48" s="15" t="s">
        <v>53</v>
      </c>
      <c r="F48" s="15">
        <v>3.0</v>
      </c>
      <c r="G48" s="15">
        <v>3.0</v>
      </c>
      <c r="H48" s="15">
        <v>3.0</v>
      </c>
      <c r="I48" s="15">
        <v>4.0</v>
      </c>
      <c r="J48" s="15">
        <v>3.0</v>
      </c>
      <c r="K48" s="15">
        <v>3.0</v>
      </c>
      <c r="L48" s="15">
        <v>3.0</v>
      </c>
      <c r="M48" s="15">
        <v>2.0</v>
      </c>
      <c r="N48" s="15">
        <v>2.0</v>
      </c>
      <c r="O48" s="15">
        <v>3.0</v>
      </c>
      <c r="P48" s="15">
        <v>2.0</v>
      </c>
      <c r="Q48" s="15" t="s">
        <v>55</v>
      </c>
      <c r="R48" s="15" t="s">
        <v>64</v>
      </c>
      <c r="S48" s="15" t="s">
        <v>57</v>
      </c>
      <c r="T48" s="22">
        <v>3.0</v>
      </c>
      <c r="U48" s="20">
        <f>+3</f>
        <v>3</v>
      </c>
      <c r="V48" s="21" t="s">
        <v>54</v>
      </c>
      <c r="X48" s="15" t="s">
        <v>77</v>
      </c>
      <c r="Y48" s="15" t="s">
        <v>53</v>
      </c>
      <c r="Z48" s="15">
        <v>3.0</v>
      </c>
      <c r="AA48" s="15">
        <v>3.0</v>
      </c>
      <c r="AB48" s="15">
        <v>3.0</v>
      </c>
      <c r="AC48" s="15">
        <v>4.0</v>
      </c>
      <c r="AD48" s="15">
        <v>3.0</v>
      </c>
      <c r="AE48" s="15">
        <v>3.0</v>
      </c>
      <c r="AF48" s="15">
        <v>3.0</v>
      </c>
      <c r="AG48" s="15">
        <v>2.0</v>
      </c>
      <c r="AH48" s="15">
        <v>2.0</v>
      </c>
      <c r="AI48" s="15">
        <v>3.0</v>
      </c>
      <c r="AJ48" s="15">
        <v>2.0</v>
      </c>
      <c r="AN48" s="15">
        <v>3.0</v>
      </c>
      <c r="AO48" s="19" t="s">
        <v>54</v>
      </c>
      <c r="AP48" s="15">
        <v>23.0</v>
      </c>
      <c r="AQ48" s="15" t="s">
        <v>67</v>
      </c>
      <c r="AR48" s="15" t="s">
        <v>159</v>
      </c>
      <c r="AS48" s="15" t="s">
        <v>61</v>
      </c>
      <c r="AT48" s="15" t="s">
        <v>160</v>
      </c>
      <c r="AU48" s="15" t="s">
        <v>161</v>
      </c>
    </row>
    <row r="49">
      <c r="A49" s="14">
        <v>45068.59177811343</v>
      </c>
      <c r="B49" s="15" t="s">
        <v>53</v>
      </c>
      <c r="C49" s="15" t="s">
        <v>53</v>
      </c>
      <c r="D49" s="15" t="s">
        <v>54</v>
      </c>
      <c r="E49" s="15" t="s">
        <v>53</v>
      </c>
      <c r="F49" s="15">
        <v>4.0</v>
      </c>
      <c r="G49" s="15">
        <v>1.0</v>
      </c>
      <c r="H49" s="15">
        <v>2.0</v>
      </c>
      <c r="I49" s="15">
        <v>4.0</v>
      </c>
      <c r="J49" s="15">
        <v>2.0</v>
      </c>
      <c r="K49" s="15">
        <v>5.0</v>
      </c>
      <c r="L49" s="15">
        <v>1.0</v>
      </c>
      <c r="M49" s="15">
        <v>2.0</v>
      </c>
      <c r="N49" s="15">
        <v>5.0</v>
      </c>
      <c r="O49" s="15">
        <v>4.0</v>
      </c>
      <c r="P49" s="15">
        <v>4.0</v>
      </c>
      <c r="Q49" s="15" t="s">
        <v>55</v>
      </c>
      <c r="R49" s="15" t="s">
        <v>92</v>
      </c>
      <c r="S49" s="15" t="s">
        <v>57</v>
      </c>
      <c r="T49" s="22">
        <v>4.0</v>
      </c>
      <c r="U49" s="20">
        <f>+2</f>
        <v>2</v>
      </c>
      <c r="V49" s="21" t="s">
        <v>65</v>
      </c>
      <c r="X49" s="15" t="s">
        <v>116</v>
      </c>
      <c r="Y49" s="15" t="s">
        <v>53</v>
      </c>
      <c r="Z49" s="15">
        <v>4.0</v>
      </c>
      <c r="AA49" s="15">
        <v>1.0</v>
      </c>
      <c r="AB49" s="15">
        <v>2.0</v>
      </c>
      <c r="AC49" s="15">
        <v>4.0</v>
      </c>
      <c r="AD49" s="15">
        <v>2.0</v>
      </c>
      <c r="AE49" s="15">
        <v>5.0</v>
      </c>
      <c r="AF49" s="15">
        <v>1.0</v>
      </c>
      <c r="AG49" s="15">
        <v>2.0</v>
      </c>
      <c r="AH49" s="15">
        <v>5.0</v>
      </c>
      <c r="AI49" s="15">
        <v>4.0</v>
      </c>
      <c r="AJ49" s="15">
        <v>4.0</v>
      </c>
      <c r="AN49" s="15">
        <v>4.0</v>
      </c>
      <c r="AO49" s="19" t="s">
        <v>65</v>
      </c>
      <c r="AP49" s="15">
        <v>23.0</v>
      </c>
      <c r="AQ49" s="15" t="s">
        <v>67</v>
      </c>
      <c r="AR49" s="15" t="s">
        <v>162</v>
      </c>
      <c r="AS49" s="15" t="s">
        <v>140</v>
      </c>
      <c r="AT49" s="15" t="s">
        <v>69</v>
      </c>
      <c r="AU49" s="15" t="s">
        <v>163</v>
      </c>
      <c r="AV49" s="15" t="s">
        <v>164</v>
      </c>
    </row>
    <row r="50">
      <c r="A50" s="14">
        <v>45068.59188766204</v>
      </c>
      <c r="B50" s="15" t="s">
        <v>53</v>
      </c>
      <c r="C50" s="15" t="s">
        <v>53</v>
      </c>
      <c r="D50" s="15" t="s">
        <v>104</v>
      </c>
      <c r="E50" s="15" t="s">
        <v>53</v>
      </c>
      <c r="F50" s="15">
        <v>5.0</v>
      </c>
      <c r="G50" s="15">
        <v>5.0</v>
      </c>
      <c r="H50" s="15">
        <v>1.0</v>
      </c>
      <c r="I50" s="15">
        <v>3.0</v>
      </c>
      <c r="J50" s="15">
        <v>4.0</v>
      </c>
      <c r="K50" s="15">
        <v>2.0</v>
      </c>
      <c r="L50" s="15">
        <v>2.0</v>
      </c>
      <c r="M50" s="15">
        <v>2.0</v>
      </c>
      <c r="N50" s="15">
        <v>2.0</v>
      </c>
      <c r="O50" s="15">
        <v>2.0</v>
      </c>
      <c r="P50" s="15">
        <v>2.0</v>
      </c>
      <c r="Q50" s="15" t="s">
        <v>55</v>
      </c>
      <c r="R50" s="15" t="s">
        <v>83</v>
      </c>
      <c r="S50" s="15" t="s">
        <v>64</v>
      </c>
      <c r="T50" s="22">
        <v>5.0</v>
      </c>
      <c r="U50" s="20">
        <f>+5</f>
        <v>5</v>
      </c>
      <c r="V50" s="21" t="s">
        <v>104</v>
      </c>
      <c r="X50" s="15" t="s">
        <v>77</v>
      </c>
      <c r="Y50" s="15" t="s">
        <v>53</v>
      </c>
      <c r="Z50" s="15">
        <v>5.0</v>
      </c>
      <c r="AA50" s="15">
        <v>5.0</v>
      </c>
      <c r="AB50" s="15">
        <v>1.0</v>
      </c>
      <c r="AC50" s="15">
        <v>3.0</v>
      </c>
      <c r="AD50" s="15">
        <v>4.0</v>
      </c>
      <c r="AE50" s="15">
        <v>2.0</v>
      </c>
      <c r="AF50" s="15">
        <v>2.0</v>
      </c>
      <c r="AG50" s="15">
        <v>2.0</v>
      </c>
      <c r="AH50" s="15">
        <v>2.0</v>
      </c>
      <c r="AI50" s="15">
        <v>2.0</v>
      </c>
      <c r="AJ50" s="15">
        <v>2.0</v>
      </c>
      <c r="AN50" s="15">
        <v>5.0</v>
      </c>
      <c r="AO50" s="19" t="s">
        <v>104</v>
      </c>
      <c r="AP50" s="15">
        <v>21.0</v>
      </c>
      <c r="AQ50" s="15" t="s">
        <v>67</v>
      </c>
      <c r="AR50" s="15" t="s">
        <v>60</v>
      </c>
      <c r="AS50" s="15" t="s">
        <v>61</v>
      </c>
      <c r="AT50" s="15" t="s">
        <v>93</v>
      </c>
      <c r="AU50" s="15" t="s">
        <v>165</v>
      </c>
    </row>
    <row r="51">
      <c r="A51" s="14">
        <v>45068.59267038194</v>
      </c>
      <c r="B51" s="15" t="s">
        <v>53</v>
      </c>
      <c r="C51" s="15" t="s">
        <v>53</v>
      </c>
      <c r="D51" s="15" t="s">
        <v>104</v>
      </c>
      <c r="E51" s="15" t="s">
        <v>53</v>
      </c>
      <c r="F51" s="15">
        <v>4.0</v>
      </c>
      <c r="G51" s="15">
        <v>2.0</v>
      </c>
      <c r="H51" s="15">
        <v>3.0</v>
      </c>
      <c r="I51" s="15">
        <v>4.0</v>
      </c>
      <c r="J51" s="15">
        <v>2.0</v>
      </c>
      <c r="K51" s="15">
        <v>5.0</v>
      </c>
      <c r="L51" s="15">
        <v>2.0</v>
      </c>
      <c r="M51" s="15">
        <v>4.0</v>
      </c>
      <c r="N51" s="15">
        <v>4.0</v>
      </c>
      <c r="O51" s="15">
        <v>4.0</v>
      </c>
      <c r="P51" s="15">
        <v>4.0</v>
      </c>
      <c r="Q51" s="15" t="s">
        <v>55</v>
      </c>
      <c r="R51" s="15" t="s">
        <v>86</v>
      </c>
      <c r="S51" s="15" t="s">
        <v>64</v>
      </c>
      <c r="T51" s="22">
        <v>4.0</v>
      </c>
      <c r="U51" s="20">
        <f>+3</f>
        <v>3</v>
      </c>
      <c r="V51" s="21" t="s">
        <v>54</v>
      </c>
      <c r="X51" s="15" t="s">
        <v>113</v>
      </c>
      <c r="Y51" s="15" t="s">
        <v>53</v>
      </c>
      <c r="Z51" s="15">
        <v>4.0</v>
      </c>
      <c r="AA51" s="15">
        <v>2.0</v>
      </c>
      <c r="AB51" s="15">
        <v>3.0</v>
      </c>
      <c r="AC51" s="15">
        <v>4.0</v>
      </c>
      <c r="AD51" s="15">
        <v>2.0</v>
      </c>
      <c r="AE51" s="15">
        <v>5.0</v>
      </c>
      <c r="AF51" s="15">
        <v>2.0</v>
      </c>
      <c r="AG51" s="15">
        <v>4.0</v>
      </c>
      <c r="AH51" s="15">
        <v>4.0</v>
      </c>
      <c r="AI51" s="15">
        <v>4.0</v>
      </c>
      <c r="AJ51" s="15">
        <v>4.0</v>
      </c>
      <c r="AN51" s="15">
        <v>4.0</v>
      </c>
      <c r="AO51" s="19" t="s">
        <v>54</v>
      </c>
      <c r="AP51" s="15">
        <v>23.0</v>
      </c>
      <c r="AQ51" s="15" t="s">
        <v>67</v>
      </c>
      <c r="AR51" s="15" t="s">
        <v>166</v>
      </c>
      <c r="AS51" s="15" t="s">
        <v>61</v>
      </c>
      <c r="AT51" s="15" t="s">
        <v>69</v>
      </c>
      <c r="AU51" s="15" t="s">
        <v>167</v>
      </c>
      <c r="AV51" s="15" t="s">
        <v>164</v>
      </c>
    </row>
    <row r="52">
      <c r="A52" s="14">
        <v>45068.593132256945</v>
      </c>
      <c r="B52" s="15" t="s">
        <v>53</v>
      </c>
      <c r="C52" s="15" t="s">
        <v>53</v>
      </c>
      <c r="D52" s="15">
        <v>-3.0</v>
      </c>
      <c r="E52" s="15" t="s">
        <v>53</v>
      </c>
      <c r="F52" s="15">
        <v>4.0</v>
      </c>
      <c r="G52" s="15">
        <v>3.0</v>
      </c>
      <c r="H52" s="15">
        <v>2.0</v>
      </c>
      <c r="I52" s="15">
        <v>4.0</v>
      </c>
      <c r="J52" s="15">
        <v>3.0</v>
      </c>
      <c r="K52" s="15">
        <v>4.0</v>
      </c>
      <c r="L52" s="15">
        <v>3.0</v>
      </c>
      <c r="M52" s="15">
        <v>3.0</v>
      </c>
      <c r="N52" s="15">
        <v>2.0</v>
      </c>
      <c r="O52" s="15">
        <v>2.0</v>
      </c>
      <c r="P52" s="15">
        <v>2.0</v>
      </c>
      <c r="Q52" s="15" t="s">
        <v>83</v>
      </c>
      <c r="R52" s="15" t="s">
        <v>56</v>
      </c>
      <c r="S52" s="15" t="s">
        <v>86</v>
      </c>
      <c r="T52" s="23">
        <v>4.0</v>
      </c>
      <c r="U52" s="24">
        <f>+2</f>
        <v>2</v>
      </c>
      <c r="V52" s="21"/>
      <c r="X52" s="15" t="s">
        <v>66</v>
      </c>
      <c r="AO52" s="26"/>
      <c r="AP52" s="15" t="s">
        <v>168</v>
      </c>
      <c r="AQ52" s="15" t="s">
        <v>59</v>
      </c>
      <c r="AR52" s="15" t="s">
        <v>166</v>
      </c>
      <c r="AS52" s="15" t="s">
        <v>61</v>
      </c>
      <c r="AT52" s="15" t="s">
        <v>69</v>
      </c>
      <c r="AU52" s="15" t="s">
        <v>169</v>
      </c>
      <c r="AV52" s="15" t="s">
        <v>170</v>
      </c>
    </row>
    <row r="53">
      <c r="A53" s="14">
        <v>45068.59552942129</v>
      </c>
      <c r="B53" s="15" t="s">
        <v>53</v>
      </c>
      <c r="C53" s="15" t="s">
        <v>53</v>
      </c>
      <c r="D53" s="15" t="s">
        <v>104</v>
      </c>
      <c r="E53" s="15" t="s">
        <v>53</v>
      </c>
      <c r="F53" s="15">
        <v>3.0</v>
      </c>
      <c r="G53" s="15">
        <v>5.0</v>
      </c>
      <c r="H53" s="15">
        <v>5.0</v>
      </c>
      <c r="I53" s="15">
        <v>5.0</v>
      </c>
      <c r="J53" s="15">
        <v>1.0</v>
      </c>
      <c r="K53" s="15">
        <v>5.0</v>
      </c>
      <c r="L53" s="15">
        <v>1.0</v>
      </c>
      <c r="M53" s="15">
        <v>5.0</v>
      </c>
      <c r="N53" s="15">
        <v>5.0</v>
      </c>
      <c r="O53" s="15">
        <v>5.0</v>
      </c>
      <c r="P53" s="15">
        <v>5.0</v>
      </c>
      <c r="Q53" s="15" t="s">
        <v>64</v>
      </c>
      <c r="R53" s="15" t="s">
        <v>55</v>
      </c>
      <c r="S53" s="15" t="s">
        <v>83</v>
      </c>
      <c r="T53" s="22">
        <v>3.0</v>
      </c>
      <c r="U53" s="17">
        <v>-5.0</v>
      </c>
      <c r="V53" s="18">
        <v>-5.0</v>
      </c>
      <c r="W53" s="15" t="s">
        <v>80</v>
      </c>
      <c r="Y53" s="15" t="s">
        <v>53</v>
      </c>
      <c r="Z53" s="15">
        <v>3.0</v>
      </c>
      <c r="AA53" s="15">
        <v>5.0</v>
      </c>
      <c r="AB53" s="15">
        <v>5.0</v>
      </c>
      <c r="AC53" s="15">
        <v>5.0</v>
      </c>
      <c r="AD53" s="15">
        <v>1.0</v>
      </c>
      <c r="AE53" s="15">
        <v>5.0</v>
      </c>
      <c r="AF53" s="15">
        <v>1.0</v>
      </c>
      <c r="AG53" s="15">
        <v>5.0</v>
      </c>
      <c r="AH53" s="15">
        <v>5.0</v>
      </c>
      <c r="AI53" s="15">
        <v>5.0</v>
      </c>
      <c r="AJ53" s="15">
        <v>5.0</v>
      </c>
      <c r="AN53" s="15">
        <v>3.0</v>
      </c>
      <c r="AO53" s="19">
        <v>-5.0</v>
      </c>
      <c r="AP53" s="15">
        <v>27.0</v>
      </c>
      <c r="AQ53" s="15" t="s">
        <v>59</v>
      </c>
      <c r="AR53" s="15" t="s">
        <v>120</v>
      </c>
      <c r="AS53" s="15" t="s">
        <v>61</v>
      </c>
      <c r="AT53" s="15" t="s">
        <v>171</v>
      </c>
      <c r="AU53" s="15" t="s">
        <v>172</v>
      </c>
    </row>
    <row r="54">
      <c r="A54" s="14">
        <v>45068.59619686342</v>
      </c>
      <c r="B54" s="15" t="s">
        <v>53</v>
      </c>
      <c r="C54" s="15" t="s">
        <v>53</v>
      </c>
      <c r="D54" s="15" t="s">
        <v>54</v>
      </c>
      <c r="E54" s="15" t="s">
        <v>53</v>
      </c>
      <c r="F54" s="15">
        <v>4.0</v>
      </c>
      <c r="G54" s="15">
        <v>1.0</v>
      </c>
      <c r="H54" s="15">
        <v>1.0</v>
      </c>
      <c r="I54" s="15">
        <v>4.0</v>
      </c>
      <c r="J54" s="15">
        <v>5.0</v>
      </c>
      <c r="K54" s="15">
        <v>3.0</v>
      </c>
      <c r="L54" s="15">
        <v>1.0</v>
      </c>
      <c r="M54" s="15">
        <v>3.0</v>
      </c>
      <c r="N54" s="15">
        <v>3.0</v>
      </c>
      <c r="O54" s="15">
        <v>3.0</v>
      </c>
      <c r="P54" s="15">
        <v>3.0</v>
      </c>
      <c r="Q54" s="15" t="s">
        <v>55</v>
      </c>
      <c r="R54" s="15" t="s">
        <v>56</v>
      </c>
      <c r="S54" s="15" t="s">
        <v>64</v>
      </c>
      <c r="T54" s="22">
        <v>5.0</v>
      </c>
      <c r="U54" s="20">
        <f>+2</f>
        <v>2</v>
      </c>
      <c r="V54" s="21" t="s">
        <v>65</v>
      </c>
      <c r="X54" s="15" t="s">
        <v>66</v>
      </c>
      <c r="Y54" s="15" t="s">
        <v>53</v>
      </c>
      <c r="Z54" s="15">
        <v>4.0</v>
      </c>
      <c r="AA54" s="15">
        <v>1.0</v>
      </c>
      <c r="AB54" s="15">
        <v>1.0</v>
      </c>
      <c r="AC54" s="15">
        <v>4.0</v>
      </c>
      <c r="AD54" s="15">
        <v>5.0</v>
      </c>
      <c r="AE54" s="15">
        <v>3.0</v>
      </c>
      <c r="AF54" s="15">
        <v>1.0</v>
      </c>
      <c r="AG54" s="15">
        <v>3.0</v>
      </c>
      <c r="AH54" s="15">
        <v>3.0</v>
      </c>
      <c r="AI54" s="15">
        <v>3.0</v>
      </c>
      <c r="AJ54" s="15">
        <v>3.0</v>
      </c>
      <c r="AN54" s="15">
        <v>5.0</v>
      </c>
      <c r="AO54" s="19" t="s">
        <v>65</v>
      </c>
      <c r="AP54" s="15">
        <v>23.0</v>
      </c>
      <c r="AQ54" s="15" t="s">
        <v>67</v>
      </c>
      <c r="AR54" s="15" t="s">
        <v>98</v>
      </c>
      <c r="AS54" s="15" t="s">
        <v>109</v>
      </c>
      <c r="AT54" s="15" t="s">
        <v>138</v>
      </c>
      <c r="AU54" s="15" t="s">
        <v>173</v>
      </c>
    </row>
    <row r="55">
      <c r="A55" s="14">
        <v>45068.596741898145</v>
      </c>
      <c r="B55" s="15" t="s">
        <v>53</v>
      </c>
      <c r="C55" s="15" t="s">
        <v>53</v>
      </c>
      <c r="D55" s="15" t="s">
        <v>85</v>
      </c>
      <c r="E55" s="15" t="s">
        <v>53</v>
      </c>
      <c r="F55" s="15">
        <v>5.0</v>
      </c>
      <c r="G55" s="15">
        <v>1.0</v>
      </c>
      <c r="H55" s="15">
        <v>1.0</v>
      </c>
      <c r="I55" s="15">
        <v>1.0</v>
      </c>
      <c r="J55" s="15">
        <v>5.0</v>
      </c>
      <c r="K55" s="15">
        <v>5.0</v>
      </c>
      <c r="L55" s="15">
        <v>1.0</v>
      </c>
      <c r="M55" s="15">
        <v>4.0</v>
      </c>
      <c r="N55" s="15">
        <v>5.0</v>
      </c>
      <c r="O55" s="15">
        <v>4.0</v>
      </c>
      <c r="P55" s="15">
        <v>4.0</v>
      </c>
      <c r="Q55" s="15" t="s">
        <v>55</v>
      </c>
      <c r="R55" s="15" t="s">
        <v>57</v>
      </c>
      <c r="S55" s="15" t="s">
        <v>64</v>
      </c>
      <c r="T55" s="22">
        <v>4.0</v>
      </c>
      <c r="U55" s="20">
        <f>+3</f>
        <v>3</v>
      </c>
      <c r="V55" s="21" t="s">
        <v>54</v>
      </c>
      <c r="X55" s="15" t="s">
        <v>66</v>
      </c>
      <c r="Y55" s="15" t="s">
        <v>53</v>
      </c>
      <c r="Z55" s="15">
        <v>5.0</v>
      </c>
      <c r="AA55" s="15">
        <v>1.0</v>
      </c>
      <c r="AB55" s="15">
        <v>1.0</v>
      </c>
      <c r="AC55" s="15">
        <v>1.0</v>
      </c>
      <c r="AD55" s="15">
        <v>5.0</v>
      </c>
      <c r="AE55" s="15">
        <v>5.0</v>
      </c>
      <c r="AF55" s="15">
        <v>1.0</v>
      </c>
      <c r="AG55" s="15">
        <v>4.0</v>
      </c>
      <c r="AH55" s="15">
        <v>5.0</v>
      </c>
      <c r="AI55" s="15">
        <v>4.0</v>
      </c>
      <c r="AJ55" s="15">
        <v>4.0</v>
      </c>
      <c r="AN55" s="15">
        <v>4.0</v>
      </c>
      <c r="AO55" s="19" t="s">
        <v>54</v>
      </c>
      <c r="AP55" s="15">
        <v>26.0</v>
      </c>
      <c r="AQ55" s="15" t="s">
        <v>59</v>
      </c>
      <c r="AR55" s="15" t="s">
        <v>60</v>
      </c>
      <c r="AS55" s="15" t="s">
        <v>61</v>
      </c>
      <c r="AT55" s="15" t="s">
        <v>110</v>
      </c>
      <c r="AU55" s="15" t="s">
        <v>174</v>
      </c>
      <c r="AV55" s="15" t="s">
        <v>129</v>
      </c>
    </row>
    <row r="56">
      <c r="A56" s="14">
        <v>45068.59739863426</v>
      </c>
      <c r="B56" s="15" t="s">
        <v>53</v>
      </c>
      <c r="C56" s="15" t="s">
        <v>53</v>
      </c>
      <c r="D56" s="15" t="s">
        <v>85</v>
      </c>
      <c r="E56" s="15" t="s">
        <v>53</v>
      </c>
      <c r="F56" s="15">
        <v>2.0</v>
      </c>
      <c r="G56" s="15">
        <v>5.0</v>
      </c>
      <c r="H56" s="15">
        <v>3.0</v>
      </c>
      <c r="I56" s="15">
        <v>5.0</v>
      </c>
      <c r="J56" s="15">
        <v>2.0</v>
      </c>
      <c r="K56" s="15">
        <v>4.0</v>
      </c>
      <c r="L56" s="15">
        <v>1.0</v>
      </c>
      <c r="M56" s="15">
        <v>4.0</v>
      </c>
      <c r="N56" s="15">
        <v>5.0</v>
      </c>
      <c r="O56" s="15">
        <v>5.0</v>
      </c>
      <c r="P56" s="15">
        <v>5.0</v>
      </c>
      <c r="Q56" s="15" t="s">
        <v>57</v>
      </c>
      <c r="R56" s="15" t="s">
        <v>55</v>
      </c>
      <c r="S56" s="15" t="s">
        <v>92</v>
      </c>
      <c r="T56" s="22">
        <v>4.0</v>
      </c>
      <c r="U56" s="20">
        <f>+2</f>
        <v>2</v>
      </c>
      <c r="V56" s="21" t="s">
        <v>65</v>
      </c>
      <c r="X56" s="15" t="s">
        <v>113</v>
      </c>
      <c r="Y56" s="15" t="s">
        <v>53</v>
      </c>
      <c r="Z56" s="15">
        <v>2.0</v>
      </c>
      <c r="AA56" s="15">
        <v>5.0</v>
      </c>
      <c r="AB56" s="15">
        <v>3.0</v>
      </c>
      <c r="AC56" s="15">
        <v>5.0</v>
      </c>
      <c r="AD56" s="15">
        <v>2.0</v>
      </c>
      <c r="AE56" s="15">
        <v>4.0</v>
      </c>
      <c r="AF56" s="15">
        <v>1.0</v>
      </c>
      <c r="AG56" s="15">
        <v>4.0</v>
      </c>
      <c r="AH56" s="15">
        <v>5.0</v>
      </c>
      <c r="AI56" s="15">
        <v>5.0</v>
      </c>
      <c r="AJ56" s="15">
        <v>5.0</v>
      </c>
      <c r="AN56" s="15">
        <v>4.0</v>
      </c>
      <c r="AO56" s="19" t="s">
        <v>65</v>
      </c>
      <c r="AP56" s="15">
        <v>20.0</v>
      </c>
      <c r="AQ56" s="15" t="s">
        <v>67</v>
      </c>
      <c r="AR56" s="15" t="s">
        <v>60</v>
      </c>
      <c r="AS56" s="15" t="s">
        <v>61</v>
      </c>
      <c r="AT56" s="15" t="s">
        <v>78</v>
      </c>
      <c r="AU56" s="15" t="s">
        <v>175</v>
      </c>
    </row>
    <row r="57">
      <c r="A57" s="14">
        <v>45068.59786709491</v>
      </c>
      <c r="B57" s="15" t="s">
        <v>53</v>
      </c>
      <c r="C57" s="15" t="s">
        <v>53</v>
      </c>
      <c r="D57" s="15" t="s">
        <v>104</v>
      </c>
      <c r="E57" s="15" t="s">
        <v>53</v>
      </c>
      <c r="F57" s="15">
        <v>4.0</v>
      </c>
      <c r="G57" s="15">
        <v>2.0</v>
      </c>
      <c r="H57" s="15">
        <v>3.0</v>
      </c>
      <c r="I57" s="15">
        <v>5.0</v>
      </c>
      <c r="J57" s="15">
        <v>5.0</v>
      </c>
      <c r="K57" s="15">
        <v>4.0</v>
      </c>
      <c r="L57" s="15">
        <v>2.0</v>
      </c>
      <c r="M57" s="15">
        <v>3.0</v>
      </c>
      <c r="N57" s="15">
        <v>3.0</v>
      </c>
      <c r="O57" s="15">
        <v>4.0</v>
      </c>
      <c r="P57" s="15">
        <v>4.0</v>
      </c>
      <c r="Q57" s="15" t="s">
        <v>55</v>
      </c>
      <c r="R57" s="15" t="s">
        <v>56</v>
      </c>
      <c r="S57" s="15" t="s">
        <v>57</v>
      </c>
      <c r="T57" s="22">
        <v>4.0</v>
      </c>
      <c r="U57" s="20">
        <f>+3</f>
        <v>3</v>
      </c>
      <c r="V57" s="21" t="s">
        <v>54</v>
      </c>
      <c r="X57" s="15" t="s">
        <v>113</v>
      </c>
      <c r="Y57" s="15" t="s">
        <v>53</v>
      </c>
      <c r="Z57" s="15">
        <v>4.0</v>
      </c>
      <c r="AA57" s="15">
        <v>2.0</v>
      </c>
      <c r="AB57" s="15">
        <v>3.0</v>
      </c>
      <c r="AC57" s="15">
        <v>5.0</v>
      </c>
      <c r="AD57" s="15">
        <v>5.0</v>
      </c>
      <c r="AE57" s="15">
        <v>4.0</v>
      </c>
      <c r="AF57" s="15">
        <v>2.0</v>
      </c>
      <c r="AG57" s="15">
        <v>3.0</v>
      </c>
      <c r="AH57" s="15">
        <v>3.0</v>
      </c>
      <c r="AI57" s="15">
        <v>4.0</v>
      </c>
      <c r="AJ57" s="15">
        <v>4.0</v>
      </c>
      <c r="AN57" s="15">
        <v>4.0</v>
      </c>
      <c r="AO57" s="19" t="s">
        <v>54</v>
      </c>
      <c r="AP57" s="15">
        <v>27.0</v>
      </c>
      <c r="AQ57" s="15" t="s">
        <v>59</v>
      </c>
      <c r="AR57" s="15" t="s">
        <v>98</v>
      </c>
      <c r="AS57" s="15" t="s">
        <v>140</v>
      </c>
      <c r="AT57" s="15" t="s">
        <v>93</v>
      </c>
      <c r="AU57" s="15" t="s">
        <v>176</v>
      </c>
    </row>
    <row r="58">
      <c r="A58" s="14">
        <v>45068.5982862963</v>
      </c>
      <c r="B58" s="15" t="s">
        <v>53</v>
      </c>
      <c r="C58" s="15" t="s">
        <v>53</v>
      </c>
      <c r="D58" s="15" t="s">
        <v>72</v>
      </c>
      <c r="E58" s="15" t="s">
        <v>53</v>
      </c>
      <c r="F58" s="15">
        <v>5.0</v>
      </c>
      <c r="G58" s="15">
        <v>1.0</v>
      </c>
      <c r="H58" s="15">
        <v>1.0</v>
      </c>
      <c r="I58" s="15">
        <v>5.0</v>
      </c>
      <c r="J58" s="15">
        <v>3.0</v>
      </c>
      <c r="K58" s="15">
        <v>5.0</v>
      </c>
      <c r="L58" s="15">
        <v>4.0</v>
      </c>
      <c r="M58" s="15">
        <v>5.0</v>
      </c>
      <c r="N58" s="15">
        <v>5.0</v>
      </c>
      <c r="O58" s="15">
        <v>5.0</v>
      </c>
      <c r="P58" s="15">
        <v>4.0</v>
      </c>
      <c r="Q58" s="15" t="s">
        <v>57</v>
      </c>
      <c r="R58" s="15" t="s">
        <v>55</v>
      </c>
      <c r="S58" s="15" t="s">
        <v>83</v>
      </c>
      <c r="T58" s="22">
        <v>5.0</v>
      </c>
      <c r="U58" s="17">
        <v>-3.0</v>
      </c>
      <c r="V58" s="18">
        <v>-3.0</v>
      </c>
      <c r="W58" s="15" t="s">
        <v>80</v>
      </c>
      <c r="Y58" s="15" t="s">
        <v>53</v>
      </c>
      <c r="Z58" s="15">
        <v>5.0</v>
      </c>
      <c r="AA58" s="15">
        <v>1.0</v>
      </c>
      <c r="AB58" s="15">
        <v>1.0</v>
      </c>
      <c r="AC58" s="15">
        <v>5.0</v>
      </c>
      <c r="AD58" s="15">
        <v>3.0</v>
      </c>
      <c r="AE58" s="15">
        <v>5.0</v>
      </c>
      <c r="AF58" s="15">
        <v>4.0</v>
      </c>
      <c r="AG58" s="15">
        <v>5.0</v>
      </c>
      <c r="AH58" s="15">
        <v>5.0</v>
      </c>
      <c r="AI58" s="15">
        <v>5.0</v>
      </c>
      <c r="AJ58" s="15">
        <v>4.0</v>
      </c>
      <c r="AN58" s="15">
        <v>5.0</v>
      </c>
      <c r="AO58" s="19">
        <v>-3.0</v>
      </c>
      <c r="AP58" s="15">
        <v>21.0</v>
      </c>
      <c r="AQ58" s="15" t="s">
        <v>67</v>
      </c>
      <c r="AR58" s="15" t="s">
        <v>60</v>
      </c>
      <c r="AS58" s="15" t="s">
        <v>61</v>
      </c>
      <c r="AT58" s="15" t="s">
        <v>78</v>
      </c>
      <c r="AU58" s="15" t="s">
        <v>177</v>
      </c>
    </row>
    <row r="59">
      <c r="A59" s="14">
        <v>45068.60112208333</v>
      </c>
      <c r="B59" s="15" t="s">
        <v>53</v>
      </c>
      <c r="C59" s="15" t="s">
        <v>53</v>
      </c>
      <c r="D59" s="15" t="s">
        <v>72</v>
      </c>
      <c r="E59" s="15" t="s">
        <v>53</v>
      </c>
      <c r="F59" s="15">
        <v>4.0</v>
      </c>
      <c r="G59" s="15">
        <v>2.0</v>
      </c>
      <c r="H59" s="15">
        <v>2.0</v>
      </c>
      <c r="I59" s="15">
        <v>4.0</v>
      </c>
      <c r="J59" s="15">
        <v>4.0</v>
      </c>
      <c r="K59" s="15">
        <v>3.0</v>
      </c>
      <c r="L59" s="15">
        <v>3.0</v>
      </c>
      <c r="M59" s="15">
        <v>3.0</v>
      </c>
      <c r="N59" s="15">
        <v>3.0</v>
      </c>
      <c r="O59" s="15">
        <v>3.0</v>
      </c>
      <c r="P59" s="15">
        <v>3.0</v>
      </c>
      <c r="Q59" s="15" t="s">
        <v>55</v>
      </c>
      <c r="R59" s="15" t="s">
        <v>64</v>
      </c>
      <c r="S59" s="15" t="s">
        <v>57</v>
      </c>
      <c r="T59" s="22">
        <v>3.0</v>
      </c>
      <c r="U59" s="21" t="s">
        <v>65</v>
      </c>
      <c r="V59" s="21" t="s">
        <v>65</v>
      </c>
      <c r="X59" s="15" t="s">
        <v>73</v>
      </c>
      <c r="Y59" s="15" t="s">
        <v>53</v>
      </c>
      <c r="Z59" s="15">
        <v>4.0</v>
      </c>
      <c r="AA59" s="15">
        <v>2.0</v>
      </c>
      <c r="AB59" s="15">
        <v>2.0</v>
      </c>
      <c r="AC59" s="15">
        <v>4.0</v>
      </c>
      <c r="AD59" s="15">
        <v>4.0</v>
      </c>
      <c r="AE59" s="15">
        <v>3.0</v>
      </c>
      <c r="AF59" s="15">
        <v>3.0</v>
      </c>
      <c r="AG59" s="15">
        <v>3.0</v>
      </c>
      <c r="AH59" s="15">
        <v>3.0</v>
      </c>
      <c r="AI59" s="15">
        <v>3.0</v>
      </c>
      <c r="AJ59" s="15">
        <v>3.0</v>
      </c>
      <c r="AN59" s="15">
        <v>3.0</v>
      </c>
      <c r="AO59" s="19" t="s">
        <v>65</v>
      </c>
      <c r="AP59" s="15">
        <v>55.0</v>
      </c>
      <c r="AQ59" s="15" t="s">
        <v>59</v>
      </c>
      <c r="AR59" s="15" t="s">
        <v>60</v>
      </c>
      <c r="AS59" s="15" t="s">
        <v>140</v>
      </c>
      <c r="AT59" s="15" t="s">
        <v>105</v>
      </c>
      <c r="AU59" s="15" t="s">
        <v>178</v>
      </c>
      <c r="AV59" s="15" t="s">
        <v>129</v>
      </c>
    </row>
    <row r="60">
      <c r="A60" s="14">
        <v>45068.60350207176</v>
      </c>
      <c r="B60" s="15" t="s">
        <v>53</v>
      </c>
      <c r="C60" s="15" t="s">
        <v>53</v>
      </c>
      <c r="D60" s="15" t="s">
        <v>85</v>
      </c>
      <c r="E60" s="15" t="s">
        <v>53</v>
      </c>
      <c r="F60" s="15">
        <v>4.0</v>
      </c>
      <c r="G60" s="15">
        <v>3.0</v>
      </c>
      <c r="H60" s="15">
        <v>2.0</v>
      </c>
      <c r="I60" s="15">
        <v>5.0</v>
      </c>
      <c r="J60" s="15">
        <v>4.0</v>
      </c>
      <c r="K60" s="15">
        <v>4.0</v>
      </c>
      <c r="L60" s="15">
        <v>1.0</v>
      </c>
      <c r="M60" s="15">
        <v>3.0</v>
      </c>
      <c r="N60" s="15">
        <v>4.0</v>
      </c>
      <c r="O60" s="15">
        <v>4.0</v>
      </c>
      <c r="P60" s="15">
        <v>4.0</v>
      </c>
      <c r="Q60" s="15" t="s">
        <v>55</v>
      </c>
      <c r="R60" s="15" t="s">
        <v>56</v>
      </c>
      <c r="S60" s="15" t="s">
        <v>64</v>
      </c>
      <c r="T60" s="22">
        <v>5.0</v>
      </c>
      <c r="U60" s="17">
        <v>-5.0</v>
      </c>
      <c r="V60" s="18">
        <v>-5.0</v>
      </c>
      <c r="W60" s="15" t="s">
        <v>80</v>
      </c>
      <c r="Y60" s="15" t="s">
        <v>53</v>
      </c>
      <c r="Z60" s="15">
        <v>4.0</v>
      </c>
      <c r="AA60" s="15">
        <v>3.0</v>
      </c>
      <c r="AB60" s="15">
        <v>2.0</v>
      </c>
      <c r="AC60" s="15">
        <v>5.0</v>
      </c>
      <c r="AD60" s="15">
        <v>4.0</v>
      </c>
      <c r="AE60" s="15">
        <v>4.0</v>
      </c>
      <c r="AF60" s="15">
        <v>1.0</v>
      </c>
      <c r="AG60" s="15">
        <v>3.0</v>
      </c>
      <c r="AH60" s="15">
        <v>4.0</v>
      </c>
      <c r="AI60" s="15">
        <v>4.0</v>
      </c>
      <c r="AJ60" s="15">
        <v>4.0</v>
      </c>
      <c r="AN60" s="15">
        <v>5.0</v>
      </c>
      <c r="AO60" s="19">
        <v>-5.0</v>
      </c>
      <c r="AP60" s="15">
        <v>22.0</v>
      </c>
      <c r="AQ60" s="15" t="s">
        <v>67</v>
      </c>
      <c r="AR60" s="15" t="s">
        <v>60</v>
      </c>
      <c r="AS60" s="15" t="s">
        <v>61</v>
      </c>
      <c r="AT60" s="15" t="s">
        <v>99</v>
      </c>
      <c r="AU60" s="15" t="s">
        <v>179</v>
      </c>
    </row>
    <row r="61">
      <c r="A61" s="14">
        <v>45068.60369347222</v>
      </c>
      <c r="B61" s="15" t="s">
        <v>53</v>
      </c>
      <c r="C61" s="15" t="s">
        <v>53</v>
      </c>
      <c r="D61" s="15">
        <v>-4.0</v>
      </c>
      <c r="E61" s="15" t="s">
        <v>53</v>
      </c>
      <c r="F61" s="15">
        <v>5.0</v>
      </c>
      <c r="G61" s="15">
        <v>1.0</v>
      </c>
      <c r="H61" s="15">
        <v>1.0</v>
      </c>
      <c r="I61" s="15">
        <v>4.0</v>
      </c>
      <c r="J61" s="15">
        <v>3.0</v>
      </c>
      <c r="K61" s="15">
        <v>4.0</v>
      </c>
      <c r="L61" s="15">
        <v>3.0</v>
      </c>
      <c r="M61" s="15">
        <v>2.0</v>
      </c>
      <c r="N61" s="15">
        <v>2.0</v>
      </c>
      <c r="O61" s="15">
        <v>1.0</v>
      </c>
      <c r="P61" s="15">
        <v>1.0</v>
      </c>
      <c r="Q61" s="15" t="s">
        <v>86</v>
      </c>
      <c r="R61" s="15" t="s">
        <v>57</v>
      </c>
      <c r="S61" s="15" t="s">
        <v>55</v>
      </c>
      <c r="T61" s="23">
        <v>5.0</v>
      </c>
      <c r="U61" s="24">
        <f t="shared" ref="U61:U62" si="2">+3</f>
        <v>3</v>
      </c>
      <c r="V61" s="21"/>
      <c r="X61" s="15" t="s">
        <v>77</v>
      </c>
      <c r="AO61" s="26"/>
      <c r="AP61" s="15">
        <v>25.0</v>
      </c>
      <c r="AQ61" s="15" t="s">
        <v>67</v>
      </c>
      <c r="AR61" s="15" t="s">
        <v>60</v>
      </c>
      <c r="AS61" s="15" t="s">
        <v>61</v>
      </c>
      <c r="AT61" s="15" t="s">
        <v>125</v>
      </c>
      <c r="AU61" s="15" t="s">
        <v>180</v>
      </c>
    </row>
    <row r="62">
      <c r="A62" s="14">
        <v>45068.60675143519</v>
      </c>
      <c r="B62" s="15" t="s">
        <v>53</v>
      </c>
      <c r="C62" s="15" t="s">
        <v>53</v>
      </c>
      <c r="D62" s="15" t="s">
        <v>54</v>
      </c>
      <c r="E62" s="15" t="s">
        <v>53</v>
      </c>
      <c r="F62" s="15">
        <v>4.0</v>
      </c>
      <c r="G62" s="15">
        <v>2.0</v>
      </c>
      <c r="H62" s="15">
        <v>3.0</v>
      </c>
      <c r="I62" s="15">
        <v>4.0</v>
      </c>
      <c r="J62" s="15">
        <v>3.0</v>
      </c>
      <c r="K62" s="15">
        <v>5.0</v>
      </c>
      <c r="L62" s="15">
        <v>1.0</v>
      </c>
      <c r="M62" s="15">
        <v>5.0</v>
      </c>
      <c r="N62" s="15">
        <v>5.0</v>
      </c>
      <c r="O62" s="15">
        <v>5.0</v>
      </c>
      <c r="P62" s="15">
        <v>5.0</v>
      </c>
      <c r="Q62" s="15" t="s">
        <v>55</v>
      </c>
      <c r="R62" s="15" t="s">
        <v>83</v>
      </c>
      <c r="S62" s="15" t="s">
        <v>56</v>
      </c>
      <c r="T62" s="22">
        <v>3.0</v>
      </c>
      <c r="U62" s="20">
        <f t="shared" si="2"/>
        <v>3</v>
      </c>
      <c r="V62" s="21" t="s">
        <v>54</v>
      </c>
      <c r="X62" s="15" t="s">
        <v>66</v>
      </c>
      <c r="Y62" s="15" t="s">
        <v>53</v>
      </c>
      <c r="Z62" s="15">
        <v>4.0</v>
      </c>
      <c r="AA62" s="15">
        <v>2.0</v>
      </c>
      <c r="AB62" s="15">
        <v>3.0</v>
      </c>
      <c r="AC62" s="15">
        <v>4.0</v>
      </c>
      <c r="AD62" s="15">
        <v>3.0</v>
      </c>
      <c r="AE62" s="15">
        <v>5.0</v>
      </c>
      <c r="AF62" s="15">
        <v>1.0</v>
      </c>
      <c r="AG62" s="15">
        <v>5.0</v>
      </c>
      <c r="AH62" s="15">
        <v>5.0</v>
      </c>
      <c r="AI62" s="15">
        <v>5.0</v>
      </c>
      <c r="AJ62" s="15">
        <v>5.0</v>
      </c>
      <c r="AN62" s="15">
        <v>3.0</v>
      </c>
      <c r="AO62" s="19" t="s">
        <v>54</v>
      </c>
      <c r="AP62" s="15">
        <v>22.0</v>
      </c>
      <c r="AQ62" s="15" t="s">
        <v>67</v>
      </c>
      <c r="AR62" s="15" t="s">
        <v>120</v>
      </c>
      <c r="AS62" s="15" t="s">
        <v>61</v>
      </c>
      <c r="AT62" s="15" t="s">
        <v>69</v>
      </c>
      <c r="AU62" s="15" t="s">
        <v>181</v>
      </c>
      <c r="AV62" s="15" t="s">
        <v>182</v>
      </c>
    </row>
    <row r="63">
      <c r="A63" s="14">
        <v>45068.608315000005</v>
      </c>
      <c r="B63" s="15" t="s">
        <v>53</v>
      </c>
      <c r="C63" s="15" t="s">
        <v>53</v>
      </c>
      <c r="D63" s="15" t="s">
        <v>65</v>
      </c>
      <c r="E63" s="15" t="s">
        <v>53</v>
      </c>
      <c r="F63" s="15">
        <v>3.0</v>
      </c>
      <c r="G63" s="15">
        <v>3.0</v>
      </c>
      <c r="H63" s="15">
        <v>4.0</v>
      </c>
      <c r="I63" s="15">
        <v>3.0</v>
      </c>
      <c r="J63" s="15">
        <v>2.0</v>
      </c>
      <c r="K63" s="15">
        <v>4.0</v>
      </c>
      <c r="L63" s="15">
        <v>1.0</v>
      </c>
      <c r="M63" s="15">
        <v>2.0</v>
      </c>
      <c r="N63" s="15">
        <v>3.0</v>
      </c>
      <c r="O63" s="15">
        <v>3.0</v>
      </c>
      <c r="P63" s="15">
        <v>3.0</v>
      </c>
      <c r="Q63" s="15" t="s">
        <v>57</v>
      </c>
      <c r="R63" s="15" t="s">
        <v>64</v>
      </c>
      <c r="S63" s="15" t="s">
        <v>92</v>
      </c>
      <c r="T63" s="22">
        <v>5.0</v>
      </c>
      <c r="U63" s="20">
        <f>+1</f>
        <v>1</v>
      </c>
      <c r="V63" s="21" t="s">
        <v>72</v>
      </c>
      <c r="X63" s="15" t="s">
        <v>77</v>
      </c>
      <c r="Y63" s="15" t="s">
        <v>53</v>
      </c>
      <c r="Z63" s="15">
        <v>3.0</v>
      </c>
      <c r="AA63" s="15">
        <v>3.0</v>
      </c>
      <c r="AB63" s="15">
        <v>4.0</v>
      </c>
      <c r="AC63" s="15">
        <v>3.0</v>
      </c>
      <c r="AD63" s="15">
        <v>2.0</v>
      </c>
      <c r="AE63" s="15">
        <v>4.0</v>
      </c>
      <c r="AF63" s="15">
        <v>1.0</v>
      </c>
      <c r="AG63" s="15">
        <v>2.0</v>
      </c>
      <c r="AH63" s="15">
        <v>3.0</v>
      </c>
      <c r="AI63" s="15">
        <v>3.0</v>
      </c>
      <c r="AJ63" s="15">
        <v>3.0</v>
      </c>
      <c r="AN63" s="15">
        <v>5.0</v>
      </c>
      <c r="AO63" s="19" t="s">
        <v>72</v>
      </c>
      <c r="AP63" s="15">
        <v>19.0</v>
      </c>
      <c r="AQ63" s="15" t="s">
        <v>67</v>
      </c>
      <c r="AR63" s="15" t="s">
        <v>98</v>
      </c>
      <c r="AS63" s="15" t="s">
        <v>61</v>
      </c>
      <c r="AT63" s="15" t="s">
        <v>151</v>
      </c>
      <c r="AU63" s="15" t="s">
        <v>183</v>
      </c>
    </row>
    <row r="64">
      <c r="A64" s="14">
        <v>45068.6102758912</v>
      </c>
      <c r="B64" s="15" t="s">
        <v>53</v>
      </c>
      <c r="C64" s="15" t="s">
        <v>53</v>
      </c>
      <c r="D64" s="15" t="s">
        <v>65</v>
      </c>
      <c r="E64" s="15" t="s">
        <v>53</v>
      </c>
      <c r="F64" s="15">
        <v>5.0</v>
      </c>
      <c r="G64" s="15">
        <v>2.0</v>
      </c>
      <c r="H64" s="15">
        <v>1.0</v>
      </c>
      <c r="I64" s="15">
        <v>4.0</v>
      </c>
      <c r="J64" s="15">
        <v>2.0</v>
      </c>
      <c r="K64" s="15">
        <v>5.0</v>
      </c>
      <c r="L64" s="15">
        <v>2.0</v>
      </c>
      <c r="M64" s="15">
        <v>3.0</v>
      </c>
      <c r="N64" s="15">
        <v>2.0</v>
      </c>
      <c r="O64" s="15">
        <v>2.0</v>
      </c>
      <c r="P64" s="15">
        <v>2.0</v>
      </c>
      <c r="Q64" s="15" t="s">
        <v>92</v>
      </c>
      <c r="R64" s="15" t="s">
        <v>57</v>
      </c>
      <c r="S64" s="15" t="s">
        <v>56</v>
      </c>
      <c r="T64" s="22">
        <v>2.0</v>
      </c>
      <c r="U64" s="20">
        <f>+3</f>
        <v>3</v>
      </c>
      <c r="V64" s="21" t="s">
        <v>54</v>
      </c>
      <c r="X64" s="15" t="s">
        <v>73</v>
      </c>
      <c r="Y64" s="15" t="s">
        <v>53</v>
      </c>
      <c r="Z64" s="15">
        <v>5.0</v>
      </c>
      <c r="AA64" s="15">
        <v>2.0</v>
      </c>
      <c r="AB64" s="15">
        <v>1.0</v>
      </c>
      <c r="AC64" s="15">
        <v>4.0</v>
      </c>
      <c r="AD64" s="15">
        <v>2.0</v>
      </c>
      <c r="AE64" s="15">
        <v>5.0</v>
      </c>
      <c r="AF64" s="15">
        <v>2.0</v>
      </c>
      <c r="AG64" s="15">
        <v>3.0</v>
      </c>
      <c r="AH64" s="15">
        <v>2.0</v>
      </c>
      <c r="AI64" s="15">
        <v>2.0</v>
      </c>
      <c r="AJ64" s="15">
        <v>2.0</v>
      </c>
      <c r="AN64" s="15">
        <v>2.0</v>
      </c>
      <c r="AO64" s="19" t="s">
        <v>54</v>
      </c>
      <c r="AP64" s="15">
        <v>20.0</v>
      </c>
      <c r="AQ64" s="15" t="s">
        <v>59</v>
      </c>
      <c r="AR64" s="15" t="s">
        <v>88</v>
      </c>
      <c r="AS64" s="15" t="s">
        <v>109</v>
      </c>
      <c r="AT64" s="15" t="s">
        <v>160</v>
      </c>
      <c r="AU64" s="15" t="s">
        <v>184</v>
      </c>
    </row>
    <row r="65">
      <c r="A65" s="14">
        <v>45068.61049071759</v>
      </c>
      <c r="B65" s="15" t="s">
        <v>53</v>
      </c>
      <c r="C65" s="15" t="s">
        <v>53</v>
      </c>
      <c r="D65" s="15" t="s">
        <v>54</v>
      </c>
      <c r="E65" s="15" t="s">
        <v>53</v>
      </c>
      <c r="F65" s="15">
        <v>5.0</v>
      </c>
      <c r="G65" s="15">
        <v>1.0</v>
      </c>
      <c r="H65" s="15">
        <v>2.0</v>
      </c>
      <c r="I65" s="15">
        <v>3.0</v>
      </c>
      <c r="J65" s="15">
        <v>4.0</v>
      </c>
      <c r="K65" s="15">
        <v>5.0</v>
      </c>
      <c r="L65" s="15">
        <v>2.0</v>
      </c>
      <c r="M65" s="15">
        <v>2.0</v>
      </c>
      <c r="N65" s="15">
        <v>2.0</v>
      </c>
      <c r="O65" s="15">
        <v>2.0</v>
      </c>
      <c r="P65" s="15">
        <v>2.0</v>
      </c>
      <c r="Q65" s="15" t="s">
        <v>56</v>
      </c>
      <c r="R65" s="15" t="s">
        <v>57</v>
      </c>
      <c r="S65" s="15" t="s">
        <v>86</v>
      </c>
      <c r="T65" s="22">
        <v>5.0</v>
      </c>
      <c r="U65" s="17">
        <v>-2.0</v>
      </c>
      <c r="V65" s="18">
        <v>-2.0</v>
      </c>
      <c r="W65" s="15" t="s">
        <v>185</v>
      </c>
      <c r="Y65" s="15" t="s">
        <v>53</v>
      </c>
      <c r="Z65" s="15">
        <v>5.0</v>
      </c>
      <c r="AA65" s="15">
        <v>1.0</v>
      </c>
      <c r="AB65" s="15">
        <v>2.0</v>
      </c>
      <c r="AC65" s="15">
        <v>3.0</v>
      </c>
      <c r="AD65" s="15">
        <v>4.0</v>
      </c>
      <c r="AE65" s="15">
        <v>5.0</v>
      </c>
      <c r="AF65" s="15">
        <v>2.0</v>
      </c>
      <c r="AG65" s="15">
        <v>2.0</v>
      </c>
      <c r="AH65" s="15">
        <v>2.0</v>
      </c>
      <c r="AI65" s="15">
        <v>2.0</v>
      </c>
      <c r="AJ65" s="15">
        <v>2.0</v>
      </c>
      <c r="AN65" s="15">
        <v>5.0</v>
      </c>
      <c r="AO65" s="19">
        <v>-2.0</v>
      </c>
      <c r="AP65" s="15">
        <v>24.0</v>
      </c>
      <c r="AQ65" s="15" t="s">
        <v>67</v>
      </c>
      <c r="AR65" s="15" t="s">
        <v>68</v>
      </c>
      <c r="AS65" s="15" t="s">
        <v>61</v>
      </c>
      <c r="AT65" s="15" t="s">
        <v>78</v>
      </c>
      <c r="AU65" s="15" t="s">
        <v>186</v>
      </c>
    </row>
    <row r="66">
      <c r="A66" s="14">
        <v>45068.612488819446</v>
      </c>
      <c r="B66" s="15" t="s">
        <v>53</v>
      </c>
      <c r="C66" s="15" t="s">
        <v>53</v>
      </c>
      <c r="D66" s="15" t="s">
        <v>65</v>
      </c>
      <c r="E66" s="15" t="s">
        <v>53</v>
      </c>
      <c r="F66" s="15">
        <v>5.0</v>
      </c>
      <c r="G66" s="15">
        <v>1.0</v>
      </c>
      <c r="H66" s="15">
        <v>1.0</v>
      </c>
      <c r="I66" s="15">
        <v>3.0</v>
      </c>
      <c r="J66" s="15">
        <v>3.0</v>
      </c>
      <c r="K66" s="15">
        <v>4.0</v>
      </c>
      <c r="L66" s="15">
        <v>1.0</v>
      </c>
      <c r="M66" s="15">
        <v>3.0</v>
      </c>
      <c r="N66" s="15">
        <v>3.0</v>
      </c>
      <c r="O66" s="15">
        <v>2.0</v>
      </c>
      <c r="P66" s="15">
        <v>3.0</v>
      </c>
      <c r="Q66" s="15" t="s">
        <v>55</v>
      </c>
      <c r="R66" s="15" t="s">
        <v>64</v>
      </c>
      <c r="S66" s="15" t="s">
        <v>57</v>
      </c>
      <c r="T66" s="22">
        <v>3.0</v>
      </c>
      <c r="U66" s="20">
        <f>+4</f>
        <v>4</v>
      </c>
      <c r="V66" s="21" t="s">
        <v>85</v>
      </c>
      <c r="X66" s="15" t="s">
        <v>77</v>
      </c>
      <c r="Y66" s="15" t="s">
        <v>53</v>
      </c>
      <c r="Z66" s="15">
        <v>5.0</v>
      </c>
      <c r="AA66" s="15">
        <v>1.0</v>
      </c>
      <c r="AB66" s="15">
        <v>1.0</v>
      </c>
      <c r="AC66" s="15">
        <v>3.0</v>
      </c>
      <c r="AD66" s="15">
        <v>3.0</v>
      </c>
      <c r="AE66" s="15">
        <v>4.0</v>
      </c>
      <c r="AF66" s="15">
        <v>1.0</v>
      </c>
      <c r="AG66" s="15">
        <v>3.0</v>
      </c>
      <c r="AH66" s="15">
        <v>3.0</v>
      </c>
      <c r="AI66" s="15">
        <v>2.0</v>
      </c>
      <c r="AJ66" s="15">
        <v>3.0</v>
      </c>
      <c r="AN66" s="15">
        <v>3.0</v>
      </c>
      <c r="AO66" s="19" t="s">
        <v>85</v>
      </c>
      <c r="AP66" s="15">
        <v>45.0</v>
      </c>
      <c r="AQ66" s="15" t="s">
        <v>67</v>
      </c>
      <c r="AR66" s="15" t="s">
        <v>187</v>
      </c>
      <c r="AS66" s="15" t="s">
        <v>109</v>
      </c>
      <c r="AT66" s="15" t="s">
        <v>93</v>
      </c>
      <c r="AU66" s="15" t="s">
        <v>188</v>
      </c>
    </row>
    <row r="67">
      <c r="A67" s="14">
        <v>45068.61257185185</v>
      </c>
      <c r="B67" s="15" t="s">
        <v>53</v>
      </c>
      <c r="C67" s="15" t="s">
        <v>53</v>
      </c>
      <c r="D67" s="15" t="s">
        <v>54</v>
      </c>
      <c r="E67" s="15" t="s">
        <v>53</v>
      </c>
      <c r="F67" s="15">
        <v>4.0</v>
      </c>
      <c r="G67" s="15">
        <v>1.0</v>
      </c>
      <c r="H67" s="15">
        <v>1.0</v>
      </c>
      <c r="I67" s="15">
        <v>5.0</v>
      </c>
      <c r="J67" s="15">
        <v>4.0</v>
      </c>
      <c r="K67" s="15">
        <v>5.0</v>
      </c>
      <c r="L67" s="15">
        <v>1.0</v>
      </c>
      <c r="M67" s="15">
        <v>2.0</v>
      </c>
      <c r="N67" s="15">
        <v>2.0</v>
      </c>
      <c r="O67" s="15">
        <v>2.0</v>
      </c>
      <c r="P67" s="15">
        <v>3.0</v>
      </c>
      <c r="Q67" s="15" t="s">
        <v>57</v>
      </c>
      <c r="R67" s="15" t="s">
        <v>55</v>
      </c>
      <c r="S67" s="15" t="s">
        <v>86</v>
      </c>
      <c r="T67" s="22">
        <v>4.0</v>
      </c>
      <c r="U67" s="17">
        <v>-3.0</v>
      </c>
      <c r="V67" s="18">
        <v>-3.0</v>
      </c>
      <c r="W67" s="15" t="s">
        <v>58</v>
      </c>
      <c r="Y67" s="15" t="s">
        <v>53</v>
      </c>
      <c r="Z67" s="15">
        <v>4.0</v>
      </c>
      <c r="AA67" s="15">
        <v>1.0</v>
      </c>
      <c r="AB67" s="15">
        <v>1.0</v>
      </c>
      <c r="AC67" s="15">
        <v>5.0</v>
      </c>
      <c r="AD67" s="15">
        <v>4.0</v>
      </c>
      <c r="AE67" s="15">
        <v>5.0</v>
      </c>
      <c r="AF67" s="15">
        <v>1.0</v>
      </c>
      <c r="AG67" s="15">
        <v>2.0</v>
      </c>
      <c r="AH67" s="15">
        <v>2.0</v>
      </c>
      <c r="AI67" s="15">
        <v>2.0</v>
      </c>
      <c r="AJ67" s="15">
        <v>3.0</v>
      </c>
      <c r="AN67" s="15">
        <v>4.0</v>
      </c>
      <c r="AO67" s="19">
        <v>-3.0</v>
      </c>
      <c r="AP67" s="15">
        <v>23.0</v>
      </c>
      <c r="AQ67" s="15" t="s">
        <v>67</v>
      </c>
      <c r="AR67" s="15" t="s">
        <v>98</v>
      </c>
      <c r="AS67" s="15" t="s">
        <v>140</v>
      </c>
      <c r="AT67" s="15" t="s">
        <v>138</v>
      </c>
      <c r="AU67" s="15" t="s">
        <v>189</v>
      </c>
    </row>
    <row r="68">
      <c r="A68" s="14">
        <v>45068.61394146991</v>
      </c>
      <c r="B68" s="15" t="s">
        <v>53</v>
      </c>
      <c r="C68" s="15" t="s">
        <v>53</v>
      </c>
      <c r="D68" s="15">
        <v>-1.0</v>
      </c>
      <c r="E68" s="15" t="s">
        <v>53</v>
      </c>
      <c r="F68" s="15">
        <v>4.0</v>
      </c>
      <c r="G68" s="15">
        <v>3.0</v>
      </c>
      <c r="H68" s="15">
        <v>2.0</v>
      </c>
      <c r="I68" s="15">
        <v>4.0</v>
      </c>
      <c r="J68" s="15">
        <v>3.0</v>
      </c>
      <c r="K68" s="15">
        <v>4.0</v>
      </c>
      <c r="L68" s="15">
        <v>2.0</v>
      </c>
      <c r="M68" s="15">
        <v>3.0</v>
      </c>
      <c r="N68" s="15">
        <v>3.0</v>
      </c>
      <c r="O68" s="15">
        <v>3.0</v>
      </c>
      <c r="P68" s="15">
        <v>4.0</v>
      </c>
      <c r="Q68" s="15" t="s">
        <v>57</v>
      </c>
      <c r="R68" s="15" t="s">
        <v>55</v>
      </c>
      <c r="S68" s="15" t="s">
        <v>86</v>
      </c>
      <c r="T68" s="23">
        <v>4.0</v>
      </c>
      <c r="U68" s="24">
        <f>+3</f>
        <v>3</v>
      </c>
      <c r="V68" s="21"/>
      <c r="X68" s="15" t="s">
        <v>77</v>
      </c>
      <c r="AO68" s="26"/>
      <c r="AP68" s="15">
        <v>20.0</v>
      </c>
      <c r="AQ68" s="15" t="s">
        <v>67</v>
      </c>
      <c r="AR68" s="15" t="s">
        <v>68</v>
      </c>
      <c r="AS68" s="15" t="s">
        <v>61</v>
      </c>
      <c r="AT68" s="15" t="s">
        <v>99</v>
      </c>
      <c r="AU68" s="15" t="s">
        <v>190</v>
      </c>
    </row>
    <row r="69">
      <c r="A69" s="14">
        <v>45068.6167322338</v>
      </c>
      <c r="B69" s="15" t="s">
        <v>53</v>
      </c>
      <c r="C69" s="15" t="s">
        <v>53</v>
      </c>
      <c r="D69" s="15" t="s">
        <v>54</v>
      </c>
      <c r="E69" s="15" t="s">
        <v>53</v>
      </c>
      <c r="F69" s="15">
        <v>5.0</v>
      </c>
      <c r="G69" s="15">
        <v>2.0</v>
      </c>
      <c r="H69" s="15">
        <v>1.0</v>
      </c>
      <c r="I69" s="15">
        <v>4.0</v>
      </c>
      <c r="J69" s="15">
        <v>5.0</v>
      </c>
      <c r="K69" s="15">
        <v>3.0</v>
      </c>
      <c r="L69" s="15">
        <v>1.0</v>
      </c>
      <c r="M69" s="15">
        <v>4.0</v>
      </c>
      <c r="N69" s="15">
        <v>3.0</v>
      </c>
      <c r="O69" s="15">
        <v>3.0</v>
      </c>
      <c r="P69" s="15">
        <v>4.0</v>
      </c>
      <c r="Q69" s="15" t="s">
        <v>64</v>
      </c>
      <c r="R69" s="15" t="s">
        <v>57</v>
      </c>
      <c r="S69" s="15" t="s">
        <v>86</v>
      </c>
      <c r="T69" s="22">
        <v>5.0</v>
      </c>
      <c r="U69" s="20">
        <f>+1</f>
        <v>1</v>
      </c>
      <c r="V69" s="21" t="s">
        <v>72</v>
      </c>
      <c r="X69" s="15" t="s">
        <v>77</v>
      </c>
      <c r="Y69" s="15" t="s">
        <v>53</v>
      </c>
      <c r="Z69" s="15">
        <v>5.0</v>
      </c>
      <c r="AA69" s="15">
        <v>2.0</v>
      </c>
      <c r="AB69" s="15">
        <v>1.0</v>
      </c>
      <c r="AC69" s="15">
        <v>4.0</v>
      </c>
      <c r="AD69" s="15">
        <v>5.0</v>
      </c>
      <c r="AE69" s="15">
        <v>3.0</v>
      </c>
      <c r="AF69" s="15">
        <v>1.0</v>
      </c>
      <c r="AG69" s="15">
        <v>4.0</v>
      </c>
      <c r="AH69" s="15">
        <v>3.0</v>
      </c>
      <c r="AI69" s="15">
        <v>3.0</v>
      </c>
      <c r="AJ69" s="15">
        <v>4.0</v>
      </c>
      <c r="AN69" s="15">
        <v>5.0</v>
      </c>
      <c r="AO69" s="19" t="s">
        <v>72</v>
      </c>
      <c r="AP69" s="15">
        <v>23.0</v>
      </c>
      <c r="AQ69" s="15" t="s">
        <v>67</v>
      </c>
      <c r="AR69" s="15" t="s">
        <v>98</v>
      </c>
      <c r="AS69" s="15" t="s">
        <v>61</v>
      </c>
      <c r="AT69" s="15" t="s">
        <v>99</v>
      </c>
      <c r="AU69" s="15" t="s">
        <v>191</v>
      </c>
    </row>
    <row r="70">
      <c r="A70" s="14">
        <v>45068.61700893518</v>
      </c>
      <c r="B70" s="15" t="s">
        <v>53</v>
      </c>
      <c r="C70" s="15" t="s">
        <v>53</v>
      </c>
      <c r="D70" s="15" t="s">
        <v>85</v>
      </c>
      <c r="E70" s="15" t="s">
        <v>53</v>
      </c>
      <c r="F70" s="15">
        <v>5.0</v>
      </c>
      <c r="G70" s="15">
        <v>1.0</v>
      </c>
      <c r="H70" s="15">
        <v>1.0</v>
      </c>
      <c r="I70" s="15">
        <v>5.0</v>
      </c>
      <c r="J70" s="15">
        <v>5.0</v>
      </c>
      <c r="K70" s="15">
        <v>4.0</v>
      </c>
      <c r="L70" s="15">
        <v>1.0</v>
      </c>
      <c r="M70" s="15">
        <v>4.0</v>
      </c>
      <c r="N70" s="15">
        <v>4.0</v>
      </c>
      <c r="O70" s="15">
        <v>4.0</v>
      </c>
      <c r="P70" s="15">
        <v>4.0</v>
      </c>
      <c r="Q70" s="15" t="s">
        <v>55</v>
      </c>
      <c r="R70" s="15" t="s">
        <v>56</v>
      </c>
      <c r="S70" s="15" t="s">
        <v>57</v>
      </c>
      <c r="T70" s="22">
        <v>4.0</v>
      </c>
      <c r="U70" s="20">
        <f>+3</f>
        <v>3</v>
      </c>
      <c r="V70" s="21" t="s">
        <v>54</v>
      </c>
      <c r="X70" s="15" t="s">
        <v>77</v>
      </c>
      <c r="Y70" s="15" t="s">
        <v>53</v>
      </c>
      <c r="Z70" s="15">
        <v>5.0</v>
      </c>
      <c r="AA70" s="15">
        <v>1.0</v>
      </c>
      <c r="AB70" s="15">
        <v>1.0</v>
      </c>
      <c r="AC70" s="15">
        <v>5.0</v>
      </c>
      <c r="AD70" s="15">
        <v>5.0</v>
      </c>
      <c r="AE70" s="15">
        <v>4.0</v>
      </c>
      <c r="AF70" s="15">
        <v>1.0</v>
      </c>
      <c r="AG70" s="15">
        <v>4.0</v>
      </c>
      <c r="AH70" s="15">
        <v>4.0</v>
      </c>
      <c r="AI70" s="15">
        <v>4.0</v>
      </c>
      <c r="AJ70" s="15">
        <v>4.0</v>
      </c>
      <c r="AN70" s="15">
        <v>4.0</v>
      </c>
      <c r="AO70" s="19" t="s">
        <v>54</v>
      </c>
      <c r="AP70" s="15">
        <v>22.0</v>
      </c>
      <c r="AQ70" s="15" t="s">
        <v>67</v>
      </c>
      <c r="AR70" s="15" t="s">
        <v>60</v>
      </c>
      <c r="AS70" s="15" t="s">
        <v>61</v>
      </c>
      <c r="AT70" s="15" t="s">
        <v>69</v>
      </c>
      <c r="AU70" s="15" t="s">
        <v>192</v>
      </c>
    </row>
    <row r="71">
      <c r="A71" s="14">
        <v>45068.62293045138</v>
      </c>
      <c r="B71" s="15" t="s">
        <v>53</v>
      </c>
      <c r="C71" s="15" t="s">
        <v>53</v>
      </c>
      <c r="D71" s="15" t="s">
        <v>85</v>
      </c>
      <c r="E71" s="15" t="s">
        <v>53</v>
      </c>
      <c r="F71" s="15">
        <v>2.0</v>
      </c>
      <c r="G71" s="15">
        <v>4.0</v>
      </c>
      <c r="H71" s="15">
        <v>5.0</v>
      </c>
      <c r="I71" s="15">
        <v>5.0</v>
      </c>
      <c r="J71" s="15">
        <v>1.0</v>
      </c>
      <c r="K71" s="15">
        <v>4.0</v>
      </c>
      <c r="L71" s="15">
        <v>1.0</v>
      </c>
      <c r="M71" s="15">
        <v>4.0</v>
      </c>
      <c r="N71" s="15">
        <v>5.0</v>
      </c>
      <c r="O71" s="15">
        <v>5.0</v>
      </c>
      <c r="P71" s="15">
        <v>3.0</v>
      </c>
      <c r="Q71" s="15" t="s">
        <v>55</v>
      </c>
      <c r="R71" s="15" t="s">
        <v>64</v>
      </c>
      <c r="S71" s="15" t="s">
        <v>56</v>
      </c>
      <c r="T71" s="22">
        <v>4.0</v>
      </c>
      <c r="U71" s="17">
        <v>-3.0</v>
      </c>
      <c r="V71" s="18">
        <v>-3.0</v>
      </c>
      <c r="W71" s="15" t="s">
        <v>80</v>
      </c>
      <c r="Y71" s="15" t="s">
        <v>53</v>
      </c>
      <c r="Z71" s="15">
        <v>2.0</v>
      </c>
      <c r="AA71" s="15">
        <v>4.0</v>
      </c>
      <c r="AB71" s="15">
        <v>5.0</v>
      </c>
      <c r="AC71" s="15">
        <v>5.0</v>
      </c>
      <c r="AD71" s="15">
        <v>1.0</v>
      </c>
      <c r="AE71" s="15">
        <v>4.0</v>
      </c>
      <c r="AF71" s="15">
        <v>1.0</v>
      </c>
      <c r="AG71" s="15">
        <v>4.0</v>
      </c>
      <c r="AH71" s="15">
        <v>5.0</v>
      </c>
      <c r="AI71" s="15">
        <v>5.0</v>
      </c>
      <c r="AJ71" s="15">
        <v>3.0</v>
      </c>
      <c r="AN71" s="15">
        <v>4.0</v>
      </c>
      <c r="AO71" s="19">
        <v>-3.0</v>
      </c>
      <c r="AP71" s="15">
        <v>20.0</v>
      </c>
      <c r="AQ71" s="15" t="s">
        <v>67</v>
      </c>
      <c r="AR71" s="15" t="s">
        <v>137</v>
      </c>
      <c r="AS71" s="15" t="s">
        <v>61</v>
      </c>
      <c r="AT71" s="15" t="s">
        <v>193</v>
      </c>
      <c r="AU71" s="15" t="s">
        <v>194</v>
      </c>
    </row>
    <row r="72">
      <c r="A72" s="14">
        <v>45068.62366667824</v>
      </c>
      <c r="B72" s="15" t="s">
        <v>53</v>
      </c>
      <c r="C72" s="15" t="s">
        <v>53</v>
      </c>
      <c r="D72" s="15">
        <v>-5.0</v>
      </c>
      <c r="E72" s="15" t="s">
        <v>53</v>
      </c>
      <c r="F72" s="15">
        <v>4.0</v>
      </c>
      <c r="G72" s="15">
        <v>3.0</v>
      </c>
      <c r="H72" s="15">
        <v>3.0</v>
      </c>
      <c r="I72" s="15">
        <v>5.0</v>
      </c>
      <c r="J72" s="15">
        <v>3.0</v>
      </c>
      <c r="K72" s="15">
        <v>4.0</v>
      </c>
      <c r="L72" s="15">
        <v>2.0</v>
      </c>
      <c r="M72" s="15">
        <v>1.0</v>
      </c>
      <c r="N72" s="15">
        <v>1.0</v>
      </c>
      <c r="O72" s="15">
        <v>1.0</v>
      </c>
      <c r="P72" s="15">
        <v>1.0</v>
      </c>
      <c r="Q72" s="15" t="s">
        <v>55</v>
      </c>
      <c r="R72" s="15" t="s">
        <v>56</v>
      </c>
      <c r="S72" s="15" t="s">
        <v>83</v>
      </c>
      <c r="T72" s="23">
        <v>5.0</v>
      </c>
      <c r="U72" s="24">
        <f>+1</f>
        <v>1</v>
      </c>
      <c r="V72" s="21"/>
      <c r="X72" s="15" t="s">
        <v>77</v>
      </c>
      <c r="AO72" s="26"/>
      <c r="AP72" s="15">
        <v>21.0</v>
      </c>
      <c r="AQ72" s="15" t="s">
        <v>59</v>
      </c>
      <c r="AR72" s="15" t="s">
        <v>122</v>
      </c>
      <c r="AS72" s="15" t="s">
        <v>109</v>
      </c>
      <c r="AT72" s="15" t="s">
        <v>69</v>
      </c>
      <c r="AU72" s="15" t="s">
        <v>195</v>
      </c>
    </row>
    <row r="73">
      <c r="A73" s="14">
        <v>45068.627426203704</v>
      </c>
      <c r="B73" s="15" t="s">
        <v>53</v>
      </c>
      <c r="C73" s="15" t="s">
        <v>53</v>
      </c>
      <c r="D73" s="15" t="s">
        <v>104</v>
      </c>
      <c r="E73" s="15" t="s">
        <v>53</v>
      </c>
      <c r="F73" s="15">
        <v>5.0</v>
      </c>
      <c r="G73" s="15">
        <v>1.0</v>
      </c>
      <c r="H73" s="15">
        <v>1.0</v>
      </c>
      <c r="I73" s="15">
        <v>5.0</v>
      </c>
      <c r="J73" s="15">
        <v>5.0</v>
      </c>
      <c r="K73" s="15">
        <v>4.0</v>
      </c>
      <c r="L73" s="15">
        <v>1.0</v>
      </c>
      <c r="M73" s="15">
        <v>5.0</v>
      </c>
      <c r="N73" s="15">
        <v>5.0</v>
      </c>
      <c r="O73" s="15">
        <v>5.0</v>
      </c>
      <c r="P73" s="15">
        <v>5.0</v>
      </c>
      <c r="Q73" s="15" t="s">
        <v>64</v>
      </c>
      <c r="R73" s="15" t="s">
        <v>57</v>
      </c>
      <c r="S73" s="15" t="s">
        <v>55</v>
      </c>
      <c r="T73" s="22">
        <v>3.0</v>
      </c>
      <c r="U73" s="20">
        <f>+5</f>
        <v>5</v>
      </c>
      <c r="V73" s="21" t="s">
        <v>104</v>
      </c>
      <c r="X73" s="15" t="s">
        <v>77</v>
      </c>
      <c r="Y73" s="15" t="s">
        <v>53</v>
      </c>
      <c r="Z73" s="15">
        <v>5.0</v>
      </c>
      <c r="AA73" s="15">
        <v>1.0</v>
      </c>
      <c r="AB73" s="15">
        <v>1.0</v>
      </c>
      <c r="AC73" s="15">
        <v>5.0</v>
      </c>
      <c r="AD73" s="15">
        <v>5.0</v>
      </c>
      <c r="AE73" s="15">
        <v>4.0</v>
      </c>
      <c r="AF73" s="15">
        <v>1.0</v>
      </c>
      <c r="AG73" s="15">
        <v>5.0</v>
      </c>
      <c r="AH73" s="15">
        <v>5.0</v>
      </c>
      <c r="AI73" s="15">
        <v>5.0</v>
      </c>
      <c r="AJ73" s="15">
        <v>5.0</v>
      </c>
      <c r="AN73" s="15">
        <v>3.0</v>
      </c>
      <c r="AO73" s="19" t="s">
        <v>104</v>
      </c>
      <c r="AP73" s="15">
        <v>38.0</v>
      </c>
      <c r="AQ73" s="15" t="s">
        <v>67</v>
      </c>
      <c r="AR73" s="15" t="s">
        <v>60</v>
      </c>
      <c r="AS73" s="15" t="s">
        <v>109</v>
      </c>
      <c r="AT73" s="15" t="s">
        <v>105</v>
      </c>
      <c r="AU73" s="15" t="s">
        <v>196</v>
      </c>
      <c r="AV73" s="15" t="s">
        <v>129</v>
      </c>
    </row>
    <row r="74">
      <c r="A74" s="14">
        <v>45068.63090855324</v>
      </c>
      <c r="B74" s="15" t="s">
        <v>53</v>
      </c>
      <c r="C74" s="15" t="s">
        <v>53</v>
      </c>
      <c r="D74" s="15" t="s">
        <v>54</v>
      </c>
      <c r="E74" s="15" t="s">
        <v>53</v>
      </c>
      <c r="F74" s="15">
        <v>5.0</v>
      </c>
      <c r="G74" s="15">
        <v>1.0</v>
      </c>
      <c r="H74" s="15">
        <v>1.0</v>
      </c>
      <c r="I74" s="15">
        <v>5.0</v>
      </c>
      <c r="J74" s="15">
        <v>5.0</v>
      </c>
      <c r="K74" s="15">
        <v>5.0</v>
      </c>
      <c r="L74" s="15">
        <v>1.0</v>
      </c>
      <c r="M74" s="15">
        <v>3.0</v>
      </c>
      <c r="N74" s="15">
        <v>3.0</v>
      </c>
      <c r="O74" s="15">
        <v>3.0</v>
      </c>
      <c r="P74" s="15">
        <v>4.0</v>
      </c>
      <c r="Q74" s="15" t="s">
        <v>64</v>
      </c>
      <c r="R74" s="15" t="s">
        <v>55</v>
      </c>
      <c r="S74" s="15" t="s">
        <v>57</v>
      </c>
      <c r="T74" s="22">
        <v>4.0</v>
      </c>
      <c r="U74" s="20">
        <f>+2</f>
        <v>2</v>
      </c>
      <c r="V74" s="21" t="s">
        <v>65</v>
      </c>
      <c r="X74" s="15" t="s">
        <v>77</v>
      </c>
      <c r="Y74" s="15" t="s">
        <v>53</v>
      </c>
      <c r="Z74" s="15">
        <v>5.0</v>
      </c>
      <c r="AA74" s="15">
        <v>1.0</v>
      </c>
      <c r="AB74" s="15">
        <v>1.0</v>
      </c>
      <c r="AC74" s="15">
        <v>5.0</v>
      </c>
      <c r="AD74" s="15">
        <v>5.0</v>
      </c>
      <c r="AE74" s="15">
        <v>5.0</v>
      </c>
      <c r="AF74" s="15">
        <v>1.0</v>
      </c>
      <c r="AG74" s="15">
        <v>3.0</v>
      </c>
      <c r="AH74" s="15">
        <v>3.0</v>
      </c>
      <c r="AI74" s="15">
        <v>3.0</v>
      </c>
      <c r="AJ74" s="15">
        <v>4.0</v>
      </c>
      <c r="AN74" s="15">
        <v>4.0</v>
      </c>
      <c r="AO74" s="19" t="s">
        <v>65</v>
      </c>
      <c r="AP74" s="15">
        <v>23.0</v>
      </c>
      <c r="AQ74" s="15" t="s">
        <v>67</v>
      </c>
      <c r="AR74" s="15" t="s">
        <v>68</v>
      </c>
      <c r="AS74" s="15" t="s">
        <v>61</v>
      </c>
      <c r="AT74" s="15" t="s">
        <v>99</v>
      </c>
      <c r="AU74" s="15" t="s">
        <v>197</v>
      </c>
      <c r="AV74" s="15" t="s">
        <v>198</v>
      </c>
    </row>
    <row r="75">
      <c r="A75" s="14">
        <v>45068.63385738426</v>
      </c>
      <c r="B75" s="15" t="s">
        <v>53</v>
      </c>
      <c r="C75" s="15" t="s">
        <v>53</v>
      </c>
      <c r="D75" s="15">
        <v>-3.0</v>
      </c>
      <c r="E75" s="15" t="s">
        <v>53</v>
      </c>
      <c r="F75" s="15">
        <v>3.0</v>
      </c>
      <c r="G75" s="15">
        <v>2.0</v>
      </c>
      <c r="H75" s="15">
        <v>2.0</v>
      </c>
      <c r="I75" s="15">
        <v>5.0</v>
      </c>
      <c r="J75" s="15">
        <v>3.0</v>
      </c>
      <c r="K75" s="15">
        <v>5.0</v>
      </c>
      <c r="L75" s="15">
        <v>1.0</v>
      </c>
      <c r="M75" s="15">
        <v>4.0</v>
      </c>
      <c r="N75" s="15">
        <v>4.0</v>
      </c>
      <c r="O75" s="15">
        <v>3.0</v>
      </c>
      <c r="P75" s="15">
        <v>3.0</v>
      </c>
      <c r="Q75" s="15" t="s">
        <v>55</v>
      </c>
      <c r="R75" s="15" t="s">
        <v>57</v>
      </c>
      <c r="S75" s="15" t="s">
        <v>86</v>
      </c>
      <c r="T75" s="23">
        <v>4.0</v>
      </c>
      <c r="U75" s="24">
        <v>-3.0</v>
      </c>
      <c r="V75" s="25"/>
      <c r="W75" s="15" t="s">
        <v>58</v>
      </c>
      <c r="AO75" s="26"/>
      <c r="AP75" s="15">
        <v>20.0</v>
      </c>
      <c r="AQ75" s="15" t="s">
        <v>67</v>
      </c>
      <c r="AR75" s="15" t="s">
        <v>98</v>
      </c>
      <c r="AS75" s="15" t="s">
        <v>61</v>
      </c>
      <c r="AT75" s="15" t="s">
        <v>78</v>
      </c>
      <c r="AU75" s="15" t="s">
        <v>199</v>
      </c>
    </row>
    <row r="76">
      <c r="A76" s="14">
        <v>45068.638567291666</v>
      </c>
      <c r="B76" s="15" t="s">
        <v>53</v>
      </c>
      <c r="C76" s="15" t="s">
        <v>53</v>
      </c>
      <c r="D76" s="15" t="s">
        <v>54</v>
      </c>
      <c r="E76" s="15" t="s">
        <v>53</v>
      </c>
      <c r="F76" s="15">
        <v>3.0</v>
      </c>
      <c r="G76" s="15">
        <v>3.0</v>
      </c>
      <c r="H76" s="15">
        <v>3.0</v>
      </c>
      <c r="I76" s="15">
        <v>3.0</v>
      </c>
      <c r="J76" s="15">
        <v>3.0</v>
      </c>
      <c r="K76" s="15">
        <v>1.0</v>
      </c>
      <c r="L76" s="15">
        <v>2.0</v>
      </c>
      <c r="M76" s="15">
        <v>2.0</v>
      </c>
      <c r="N76" s="15">
        <v>3.0</v>
      </c>
      <c r="O76" s="15">
        <v>3.0</v>
      </c>
      <c r="P76" s="15">
        <v>3.0</v>
      </c>
      <c r="Q76" s="15" t="s">
        <v>55</v>
      </c>
      <c r="R76" s="15" t="s">
        <v>92</v>
      </c>
      <c r="S76" s="15" t="s">
        <v>57</v>
      </c>
      <c r="T76" s="22">
        <v>2.0</v>
      </c>
      <c r="U76" s="20">
        <f>+1</f>
        <v>1</v>
      </c>
      <c r="V76" s="21" t="s">
        <v>72</v>
      </c>
      <c r="X76" s="15" t="s">
        <v>113</v>
      </c>
      <c r="Y76" s="15" t="s">
        <v>53</v>
      </c>
      <c r="Z76" s="15">
        <v>3.0</v>
      </c>
      <c r="AA76" s="15">
        <v>3.0</v>
      </c>
      <c r="AB76" s="15">
        <v>3.0</v>
      </c>
      <c r="AC76" s="15">
        <v>3.0</v>
      </c>
      <c r="AD76" s="15">
        <v>3.0</v>
      </c>
      <c r="AE76" s="15">
        <v>1.0</v>
      </c>
      <c r="AF76" s="15">
        <v>2.0</v>
      </c>
      <c r="AG76" s="15">
        <v>2.0</v>
      </c>
      <c r="AH76" s="15">
        <v>3.0</v>
      </c>
      <c r="AI76" s="15">
        <v>3.0</v>
      </c>
      <c r="AJ76" s="15">
        <v>3.0</v>
      </c>
      <c r="AN76" s="15">
        <v>2.0</v>
      </c>
      <c r="AO76" s="19" t="s">
        <v>72</v>
      </c>
      <c r="AP76" s="15">
        <v>25.0</v>
      </c>
      <c r="AQ76" s="15" t="s">
        <v>59</v>
      </c>
      <c r="AR76" s="15" t="s">
        <v>98</v>
      </c>
      <c r="AS76" s="15" t="s">
        <v>61</v>
      </c>
      <c r="AT76" s="15" t="s">
        <v>105</v>
      </c>
      <c r="AU76" s="15" t="s">
        <v>200</v>
      </c>
    </row>
    <row r="77">
      <c r="A77" s="14">
        <v>45068.64217550926</v>
      </c>
      <c r="B77" s="15" t="s">
        <v>53</v>
      </c>
      <c r="C77" s="15" t="s">
        <v>53</v>
      </c>
      <c r="D77" s="15" t="s">
        <v>65</v>
      </c>
      <c r="E77" s="15" t="s">
        <v>53</v>
      </c>
      <c r="F77" s="15">
        <v>2.0</v>
      </c>
      <c r="G77" s="15">
        <v>3.0</v>
      </c>
      <c r="H77" s="15">
        <v>2.0</v>
      </c>
      <c r="I77" s="15">
        <v>4.0</v>
      </c>
      <c r="J77" s="15">
        <v>2.0</v>
      </c>
      <c r="K77" s="15">
        <v>4.0</v>
      </c>
      <c r="L77" s="15">
        <v>1.0</v>
      </c>
      <c r="M77" s="15">
        <v>2.0</v>
      </c>
      <c r="N77" s="15">
        <v>2.0</v>
      </c>
      <c r="O77" s="15">
        <v>2.0</v>
      </c>
      <c r="P77" s="15">
        <v>2.0</v>
      </c>
      <c r="Q77" s="15" t="s">
        <v>55</v>
      </c>
      <c r="R77" s="15" t="s">
        <v>64</v>
      </c>
      <c r="S77" s="15" t="s">
        <v>92</v>
      </c>
      <c r="T77" s="22">
        <v>4.0</v>
      </c>
      <c r="U77" s="17">
        <v>-1.0</v>
      </c>
      <c r="V77" s="18">
        <v>-1.0</v>
      </c>
      <c r="W77" s="15" t="s">
        <v>58</v>
      </c>
      <c r="Y77" s="15" t="s">
        <v>53</v>
      </c>
      <c r="Z77" s="15">
        <v>2.0</v>
      </c>
      <c r="AA77" s="15">
        <v>3.0</v>
      </c>
      <c r="AB77" s="15">
        <v>2.0</v>
      </c>
      <c r="AC77" s="15">
        <v>4.0</v>
      </c>
      <c r="AD77" s="15">
        <v>2.0</v>
      </c>
      <c r="AE77" s="15">
        <v>4.0</v>
      </c>
      <c r="AF77" s="15">
        <v>1.0</v>
      </c>
      <c r="AG77" s="15">
        <v>2.0</v>
      </c>
      <c r="AH77" s="15">
        <v>2.0</v>
      </c>
      <c r="AI77" s="15">
        <v>2.0</v>
      </c>
      <c r="AJ77" s="15">
        <v>2.0</v>
      </c>
      <c r="AN77" s="15">
        <v>4.0</v>
      </c>
      <c r="AO77" s="19">
        <v>-1.0</v>
      </c>
      <c r="AP77" s="15">
        <v>25.0</v>
      </c>
      <c r="AQ77" s="15" t="s">
        <v>67</v>
      </c>
      <c r="AR77" s="15" t="s">
        <v>68</v>
      </c>
      <c r="AS77" s="15" t="s">
        <v>140</v>
      </c>
      <c r="AT77" s="15" t="s">
        <v>110</v>
      </c>
      <c r="AU77" s="15" t="s">
        <v>201</v>
      </c>
    </row>
    <row r="78">
      <c r="A78" s="14">
        <v>45068.64298253472</v>
      </c>
      <c r="B78" s="15" t="s">
        <v>53</v>
      </c>
      <c r="C78" s="15" t="s">
        <v>53</v>
      </c>
      <c r="D78" s="15" t="s">
        <v>54</v>
      </c>
      <c r="E78" s="15" t="s">
        <v>53</v>
      </c>
      <c r="F78" s="15">
        <v>4.0</v>
      </c>
      <c r="G78" s="15">
        <v>1.0</v>
      </c>
      <c r="H78" s="15">
        <v>1.0</v>
      </c>
      <c r="I78" s="15">
        <v>3.0</v>
      </c>
      <c r="J78" s="15">
        <v>4.0</v>
      </c>
      <c r="K78" s="15">
        <v>5.0</v>
      </c>
      <c r="L78" s="15">
        <v>1.0</v>
      </c>
      <c r="M78" s="15">
        <v>3.0</v>
      </c>
      <c r="N78" s="15">
        <v>4.0</v>
      </c>
      <c r="O78" s="15">
        <v>3.0</v>
      </c>
      <c r="P78" s="15">
        <v>3.0</v>
      </c>
      <c r="Q78" s="15" t="s">
        <v>64</v>
      </c>
      <c r="R78" s="15" t="s">
        <v>55</v>
      </c>
      <c r="S78" s="15" t="s">
        <v>57</v>
      </c>
      <c r="T78" s="22">
        <v>5.0</v>
      </c>
      <c r="U78" s="20">
        <f>+1</f>
        <v>1</v>
      </c>
      <c r="V78" s="21" t="s">
        <v>72</v>
      </c>
      <c r="X78" s="15" t="s">
        <v>77</v>
      </c>
      <c r="Y78" s="15" t="s">
        <v>53</v>
      </c>
      <c r="Z78" s="15">
        <v>4.0</v>
      </c>
      <c r="AA78" s="15">
        <v>1.0</v>
      </c>
      <c r="AB78" s="15">
        <v>1.0</v>
      </c>
      <c r="AC78" s="15">
        <v>3.0</v>
      </c>
      <c r="AD78" s="15">
        <v>4.0</v>
      </c>
      <c r="AE78" s="15">
        <v>5.0</v>
      </c>
      <c r="AF78" s="15">
        <v>1.0</v>
      </c>
      <c r="AG78" s="15">
        <v>3.0</v>
      </c>
      <c r="AH78" s="15">
        <v>4.0</v>
      </c>
      <c r="AI78" s="15">
        <v>3.0</v>
      </c>
      <c r="AJ78" s="15">
        <v>3.0</v>
      </c>
      <c r="AN78" s="15">
        <v>5.0</v>
      </c>
      <c r="AO78" s="19" t="s">
        <v>72</v>
      </c>
      <c r="AP78" s="15">
        <v>22.0</v>
      </c>
      <c r="AQ78" s="15" t="s">
        <v>67</v>
      </c>
      <c r="AR78" s="15" t="s">
        <v>98</v>
      </c>
      <c r="AS78" s="15" t="s">
        <v>61</v>
      </c>
      <c r="AT78" s="15" t="s">
        <v>69</v>
      </c>
      <c r="AU78" s="15" t="s">
        <v>202</v>
      </c>
    </row>
    <row r="79">
      <c r="A79" s="14">
        <v>45068.64504393519</v>
      </c>
      <c r="B79" s="15" t="s">
        <v>53</v>
      </c>
      <c r="C79" s="15" t="s">
        <v>53</v>
      </c>
      <c r="D79" s="15" t="s">
        <v>65</v>
      </c>
      <c r="E79" s="15" t="s">
        <v>53</v>
      </c>
      <c r="F79" s="15">
        <v>4.0</v>
      </c>
      <c r="G79" s="15">
        <v>2.0</v>
      </c>
      <c r="H79" s="15">
        <v>3.0</v>
      </c>
      <c r="I79" s="15">
        <v>4.0</v>
      </c>
      <c r="J79" s="15">
        <v>2.0</v>
      </c>
      <c r="K79" s="15">
        <v>2.0</v>
      </c>
      <c r="L79" s="15">
        <v>3.0</v>
      </c>
      <c r="M79" s="15">
        <v>2.0</v>
      </c>
      <c r="N79" s="15">
        <v>2.0</v>
      </c>
      <c r="O79" s="15">
        <v>2.0</v>
      </c>
      <c r="P79" s="15">
        <v>2.0</v>
      </c>
      <c r="Q79" s="15" t="s">
        <v>86</v>
      </c>
      <c r="R79" s="15" t="s">
        <v>57</v>
      </c>
      <c r="S79" s="15" t="s">
        <v>64</v>
      </c>
      <c r="T79" s="22">
        <v>4.0</v>
      </c>
      <c r="U79" s="17">
        <v>-1.0</v>
      </c>
      <c r="V79" s="18">
        <v>-1.0</v>
      </c>
      <c r="W79" s="15" t="s">
        <v>58</v>
      </c>
      <c r="Y79" s="15" t="s">
        <v>53</v>
      </c>
      <c r="Z79" s="15">
        <v>4.0</v>
      </c>
      <c r="AA79" s="15">
        <v>2.0</v>
      </c>
      <c r="AB79" s="15">
        <v>3.0</v>
      </c>
      <c r="AC79" s="15">
        <v>4.0</v>
      </c>
      <c r="AD79" s="15">
        <v>2.0</v>
      </c>
      <c r="AE79" s="15">
        <v>2.0</v>
      </c>
      <c r="AF79" s="15">
        <v>3.0</v>
      </c>
      <c r="AG79" s="15">
        <v>2.0</v>
      </c>
      <c r="AH79" s="15">
        <v>2.0</v>
      </c>
      <c r="AI79" s="15">
        <v>2.0</v>
      </c>
      <c r="AJ79" s="15">
        <v>2.0</v>
      </c>
      <c r="AN79" s="15">
        <v>4.0</v>
      </c>
      <c r="AO79" s="19">
        <v>-1.0</v>
      </c>
      <c r="AP79" s="15">
        <v>35.0</v>
      </c>
      <c r="AQ79" s="15" t="s">
        <v>59</v>
      </c>
      <c r="AR79" s="15" t="s">
        <v>60</v>
      </c>
      <c r="AS79" s="15" t="s">
        <v>109</v>
      </c>
      <c r="AT79" s="15" t="s">
        <v>93</v>
      </c>
      <c r="AU79" s="15" t="s">
        <v>203</v>
      </c>
      <c r="AV79" s="15" t="s">
        <v>129</v>
      </c>
    </row>
    <row r="80">
      <c r="A80" s="14">
        <v>45068.64826130787</v>
      </c>
      <c r="B80" s="15" t="s">
        <v>53</v>
      </c>
      <c r="C80" s="15" t="s">
        <v>53</v>
      </c>
      <c r="D80" s="15">
        <v>-3.0</v>
      </c>
      <c r="E80" s="15" t="s">
        <v>53</v>
      </c>
      <c r="F80" s="15">
        <v>2.0</v>
      </c>
      <c r="G80" s="15">
        <v>4.0</v>
      </c>
      <c r="H80" s="15">
        <v>4.0</v>
      </c>
      <c r="I80" s="15">
        <v>5.0</v>
      </c>
      <c r="J80" s="15">
        <v>2.0</v>
      </c>
      <c r="K80" s="15">
        <v>4.0</v>
      </c>
      <c r="L80" s="15">
        <v>1.0</v>
      </c>
      <c r="M80" s="15">
        <v>3.0</v>
      </c>
      <c r="N80" s="15">
        <v>4.0</v>
      </c>
      <c r="O80" s="15">
        <v>4.0</v>
      </c>
      <c r="P80" s="15">
        <v>4.0</v>
      </c>
      <c r="Q80" s="15" t="s">
        <v>92</v>
      </c>
      <c r="R80" s="15" t="s">
        <v>55</v>
      </c>
      <c r="S80" s="15" t="s">
        <v>83</v>
      </c>
      <c r="T80" s="23">
        <v>4.0</v>
      </c>
      <c r="U80" s="24">
        <f t="shared" ref="U80:U81" si="3">+2</f>
        <v>2</v>
      </c>
      <c r="V80" s="21"/>
      <c r="X80" s="15" t="s">
        <v>77</v>
      </c>
      <c r="AO80" s="26"/>
      <c r="AP80" s="15">
        <v>20.0</v>
      </c>
      <c r="AQ80" s="15" t="s">
        <v>67</v>
      </c>
      <c r="AR80" s="15" t="s">
        <v>60</v>
      </c>
      <c r="AS80" s="15" t="s">
        <v>61</v>
      </c>
      <c r="AT80" s="15" t="s">
        <v>99</v>
      </c>
      <c r="AU80" s="15" t="s">
        <v>204</v>
      </c>
    </row>
    <row r="81">
      <c r="A81" s="14">
        <v>45068.666038043986</v>
      </c>
      <c r="B81" s="15" t="s">
        <v>53</v>
      </c>
      <c r="C81" s="15" t="s">
        <v>53</v>
      </c>
      <c r="D81" s="15" t="s">
        <v>72</v>
      </c>
      <c r="E81" s="15" t="s">
        <v>53</v>
      </c>
      <c r="F81" s="15">
        <v>4.0</v>
      </c>
      <c r="G81" s="15">
        <v>2.0</v>
      </c>
      <c r="H81" s="15">
        <v>2.0</v>
      </c>
      <c r="I81" s="15">
        <v>4.0</v>
      </c>
      <c r="J81" s="15">
        <v>4.0</v>
      </c>
      <c r="K81" s="15">
        <v>4.0</v>
      </c>
      <c r="L81" s="15">
        <v>2.0</v>
      </c>
      <c r="M81" s="15">
        <v>3.0</v>
      </c>
      <c r="N81" s="15">
        <v>3.0</v>
      </c>
      <c r="O81" s="15">
        <v>4.0</v>
      </c>
      <c r="P81" s="15">
        <v>4.0</v>
      </c>
      <c r="Q81" s="15" t="s">
        <v>55</v>
      </c>
      <c r="R81" s="15" t="s">
        <v>64</v>
      </c>
      <c r="S81" s="15" t="s">
        <v>83</v>
      </c>
      <c r="T81" s="22">
        <v>4.0</v>
      </c>
      <c r="U81" s="20">
        <f t="shared" si="3"/>
        <v>2</v>
      </c>
      <c r="V81" s="21" t="s">
        <v>65</v>
      </c>
      <c r="X81" s="15" t="s">
        <v>77</v>
      </c>
      <c r="Y81" s="15" t="s">
        <v>53</v>
      </c>
      <c r="Z81" s="15">
        <v>4.0</v>
      </c>
      <c r="AA81" s="15">
        <v>2.0</v>
      </c>
      <c r="AB81" s="15">
        <v>2.0</v>
      </c>
      <c r="AC81" s="15">
        <v>4.0</v>
      </c>
      <c r="AD81" s="15">
        <v>4.0</v>
      </c>
      <c r="AE81" s="15">
        <v>4.0</v>
      </c>
      <c r="AF81" s="15">
        <v>2.0</v>
      </c>
      <c r="AG81" s="15">
        <v>3.0</v>
      </c>
      <c r="AH81" s="15">
        <v>3.0</v>
      </c>
      <c r="AI81" s="15">
        <v>4.0</v>
      </c>
      <c r="AJ81" s="15">
        <v>4.0</v>
      </c>
      <c r="AN81" s="15">
        <v>4.0</v>
      </c>
      <c r="AO81" s="19" t="s">
        <v>65</v>
      </c>
      <c r="AP81" s="15">
        <v>19.0</v>
      </c>
      <c r="AQ81" s="15" t="s">
        <v>67</v>
      </c>
      <c r="AR81" s="15" t="s">
        <v>60</v>
      </c>
      <c r="AS81" s="15" t="s">
        <v>61</v>
      </c>
      <c r="AT81" s="15" t="s">
        <v>78</v>
      </c>
      <c r="AU81" s="15" t="s">
        <v>205</v>
      </c>
    </row>
    <row r="82">
      <c r="A82" s="14">
        <v>45068.67162638889</v>
      </c>
      <c r="B82" s="15" t="s">
        <v>53</v>
      </c>
      <c r="C82" s="15" t="s">
        <v>53</v>
      </c>
      <c r="D82" s="15">
        <v>-5.0</v>
      </c>
      <c r="E82" s="15" t="s">
        <v>53</v>
      </c>
      <c r="F82" s="15">
        <v>5.0</v>
      </c>
      <c r="G82" s="15">
        <v>1.0</v>
      </c>
      <c r="H82" s="15">
        <v>5.0</v>
      </c>
      <c r="I82" s="15">
        <v>5.0</v>
      </c>
      <c r="J82" s="15">
        <v>4.0</v>
      </c>
      <c r="K82" s="15">
        <v>5.0</v>
      </c>
      <c r="L82" s="15">
        <v>1.0</v>
      </c>
      <c r="M82" s="15">
        <v>3.0</v>
      </c>
      <c r="N82" s="15">
        <v>5.0</v>
      </c>
      <c r="O82" s="15">
        <v>5.0</v>
      </c>
      <c r="P82" s="15">
        <v>5.0</v>
      </c>
      <c r="Q82" s="15" t="s">
        <v>55</v>
      </c>
      <c r="R82" s="15" t="s">
        <v>64</v>
      </c>
      <c r="S82" s="15" t="s">
        <v>57</v>
      </c>
      <c r="T82" s="23">
        <v>3.0</v>
      </c>
      <c r="U82" s="24">
        <v>-5.0</v>
      </c>
      <c r="V82" s="25"/>
      <c r="W82" s="15" t="s">
        <v>80</v>
      </c>
      <c r="AO82" s="26"/>
      <c r="AP82" s="15">
        <v>21.0</v>
      </c>
      <c r="AQ82" s="15" t="s">
        <v>67</v>
      </c>
      <c r="AR82" s="15" t="s">
        <v>60</v>
      </c>
      <c r="AS82" s="15" t="s">
        <v>61</v>
      </c>
      <c r="AT82" s="15" t="s">
        <v>99</v>
      </c>
      <c r="AU82" s="15" t="s">
        <v>206</v>
      </c>
      <c r="AV82" s="15" t="s">
        <v>207</v>
      </c>
    </row>
    <row r="83">
      <c r="A83" s="14">
        <v>45068.671699328705</v>
      </c>
      <c r="B83" s="15" t="s">
        <v>53</v>
      </c>
      <c r="C83" s="15" t="s">
        <v>53</v>
      </c>
      <c r="D83" s="15">
        <v>-5.0</v>
      </c>
      <c r="E83" s="15" t="s">
        <v>53</v>
      </c>
      <c r="F83" s="15">
        <v>3.0</v>
      </c>
      <c r="G83" s="15">
        <v>3.0</v>
      </c>
      <c r="H83" s="15">
        <v>2.0</v>
      </c>
      <c r="I83" s="15">
        <v>4.0</v>
      </c>
      <c r="J83" s="15">
        <v>2.0</v>
      </c>
      <c r="K83" s="15">
        <v>1.0</v>
      </c>
      <c r="L83" s="15">
        <v>5.0</v>
      </c>
      <c r="M83" s="15">
        <v>4.0</v>
      </c>
      <c r="N83" s="15">
        <v>1.0</v>
      </c>
      <c r="O83" s="15">
        <v>1.0</v>
      </c>
      <c r="P83" s="15">
        <v>1.0</v>
      </c>
      <c r="Q83" s="15" t="s">
        <v>57</v>
      </c>
      <c r="R83" s="15" t="s">
        <v>86</v>
      </c>
      <c r="S83" s="15" t="s">
        <v>64</v>
      </c>
      <c r="T83" s="23">
        <v>4.0</v>
      </c>
      <c r="U83" s="24">
        <v>-5.0</v>
      </c>
      <c r="V83" s="25"/>
      <c r="W83" s="15" t="s">
        <v>102</v>
      </c>
      <c r="AO83" s="26"/>
      <c r="AP83" s="15">
        <v>42.0</v>
      </c>
      <c r="AQ83" s="15" t="s">
        <v>67</v>
      </c>
      <c r="AR83" s="15" t="s">
        <v>60</v>
      </c>
      <c r="AS83" s="15" t="s">
        <v>109</v>
      </c>
      <c r="AT83" s="15" t="s">
        <v>105</v>
      </c>
      <c r="AU83" s="15" t="s">
        <v>208</v>
      </c>
    </row>
    <row r="84">
      <c r="A84" s="14">
        <v>45068.675096562496</v>
      </c>
      <c r="B84" s="15" t="s">
        <v>53</v>
      </c>
      <c r="C84" s="15" t="s">
        <v>53</v>
      </c>
      <c r="D84" s="15" t="s">
        <v>54</v>
      </c>
      <c r="E84" s="15" t="s">
        <v>97</v>
      </c>
      <c r="F84" s="15">
        <v>1.0</v>
      </c>
      <c r="G84" s="15">
        <v>5.0</v>
      </c>
      <c r="H84" s="15">
        <v>5.0</v>
      </c>
      <c r="I84" s="15">
        <v>5.0</v>
      </c>
      <c r="J84" s="15">
        <v>1.0</v>
      </c>
      <c r="K84" s="15">
        <v>5.0</v>
      </c>
      <c r="L84" s="15">
        <v>1.0</v>
      </c>
      <c r="M84" s="15">
        <v>4.0</v>
      </c>
      <c r="N84" s="15">
        <v>5.0</v>
      </c>
      <c r="O84" s="15">
        <v>5.0</v>
      </c>
      <c r="P84" s="15">
        <v>5.0</v>
      </c>
      <c r="Q84" s="15" t="s">
        <v>83</v>
      </c>
      <c r="R84" s="15" t="s">
        <v>55</v>
      </c>
      <c r="S84" s="15" t="s">
        <v>56</v>
      </c>
      <c r="T84" s="22">
        <v>5.0</v>
      </c>
      <c r="U84" s="17">
        <v>-5.0</v>
      </c>
      <c r="V84" s="18">
        <v>-5.0</v>
      </c>
      <c r="W84" s="15" t="s">
        <v>80</v>
      </c>
      <c r="Y84" s="15" t="s">
        <v>97</v>
      </c>
      <c r="Z84" s="15">
        <v>1.0</v>
      </c>
      <c r="AA84" s="15">
        <v>5.0</v>
      </c>
      <c r="AB84" s="15">
        <v>5.0</v>
      </c>
      <c r="AC84" s="15">
        <v>5.0</v>
      </c>
      <c r="AD84" s="15">
        <v>1.0</v>
      </c>
      <c r="AE84" s="15">
        <v>5.0</v>
      </c>
      <c r="AF84" s="15">
        <v>1.0</v>
      </c>
      <c r="AG84" s="15">
        <v>4.0</v>
      </c>
      <c r="AH84" s="15">
        <v>5.0</v>
      </c>
      <c r="AI84" s="15">
        <v>5.0</v>
      </c>
      <c r="AJ84" s="15">
        <v>5.0</v>
      </c>
      <c r="AN84" s="15">
        <v>5.0</v>
      </c>
      <c r="AO84" s="19">
        <v>-5.0</v>
      </c>
      <c r="AP84" s="15">
        <v>22.0</v>
      </c>
      <c r="AQ84" s="15" t="s">
        <v>67</v>
      </c>
      <c r="AR84" s="15" t="s">
        <v>60</v>
      </c>
      <c r="AS84" s="15" t="s">
        <v>61</v>
      </c>
      <c r="AT84" s="15" t="s">
        <v>78</v>
      </c>
      <c r="AU84" s="15" t="s">
        <v>209</v>
      </c>
    </row>
    <row r="85">
      <c r="A85" s="14">
        <v>45068.67791266204</v>
      </c>
      <c r="B85" s="15" t="s">
        <v>53</v>
      </c>
      <c r="C85" s="15" t="s">
        <v>53</v>
      </c>
      <c r="D85" s="15" t="s">
        <v>85</v>
      </c>
      <c r="E85" s="15" t="s">
        <v>53</v>
      </c>
      <c r="F85" s="15">
        <v>5.0</v>
      </c>
      <c r="G85" s="15">
        <v>1.0</v>
      </c>
      <c r="H85" s="15">
        <v>1.0</v>
      </c>
      <c r="I85" s="15">
        <v>3.0</v>
      </c>
      <c r="J85" s="15">
        <v>4.0</v>
      </c>
      <c r="K85" s="15">
        <v>5.0</v>
      </c>
      <c r="L85" s="15">
        <v>1.0</v>
      </c>
      <c r="M85" s="15">
        <v>3.0</v>
      </c>
      <c r="N85" s="15">
        <v>4.0</v>
      </c>
      <c r="O85" s="15">
        <v>4.0</v>
      </c>
      <c r="P85" s="15">
        <v>4.0</v>
      </c>
      <c r="Q85" s="15" t="s">
        <v>57</v>
      </c>
      <c r="R85" s="15" t="s">
        <v>56</v>
      </c>
      <c r="S85" s="15" t="s">
        <v>83</v>
      </c>
      <c r="T85" s="22">
        <v>4.0</v>
      </c>
      <c r="U85" s="20">
        <f>+4</f>
        <v>4</v>
      </c>
      <c r="V85" s="21" t="s">
        <v>85</v>
      </c>
      <c r="X85" s="15" t="s">
        <v>77</v>
      </c>
      <c r="Y85" s="15" t="s">
        <v>53</v>
      </c>
      <c r="Z85" s="15">
        <v>5.0</v>
      </c>
      <c r="AA85" s="15">
        <v>1.0</v>
      </c>
      <c r="AB85" s="15">
        <v>1.0</v>
      </c>
      <c r="AC85" s="15">
        <v>3.0</v>
      </c>
      <c r="AD85" s="15">
        <v>4.0</v>
      </c>
      <c r="AE85" s="15">
        <v>5.0</v>
      </c>
      <c r="AF85" s="15">
        <v>1.0</v>
      </c>
      <c r="AG85" s="15">
        <v>3.0</v>
      </c>
      <c r="AH85" s="15">
        <v>4.0</v>
      </c>
      <c r="AI85" s="15">
        <v>4.0</v>
      </c>
      <c r="AJ85" s="15">
        <v>4.0</v>
      </c>
      <c r="AN85" s="15">
        <v>4.0</v>
      </c>
      <c r="AO85" s="19" t="s">
        <v>85</v>
      </c>
      <c r="AP85" s="15">
        <v>22.0</v>
      </c>
      <c r="AQ85" s="15" t="s">
        <v>67</v>
      </c>
      <c r="AR85" s="15" t="s">
        <v>120</v>
      </c>
      <c r="AS85" s="15" t="s">
        <v>61</v>
      </c>
      <c r="AT85" s="15" t="s">
        <v>69</v>
      </c>
      <c r="AU85" s="15" t="s">
        <v>210</v>
      </c>
    </row>
    <row r="86">
      <c r="A86" s="14">
        <v>45068.67819535879</v>
      </c>
      <c r="B86" s="15" t="s">
        <v>53</v>
      </c>
      <c r="C86" s="15" t="s">
        <v>53</v>
      </c>
      <c r="D86" s="15" t="s">
        <v>72</v>
      </c>
      <c r="E86" s="15" t="s">
        <v>53</v>
      </c>
      <c r="F86" s="15">
        <v>5.0</v>
      </c>
      <c r="G86" s="15">
        <v>1.0</v>
      </c>
      <c r="H86" s="15">
        <v>1.0</v>
      </c>
      <c r="I86" s="15">
        <v>4.0</v>
      </c>
      <c r="J86" s="15">
        <v>5.0</v>
      </c>
      <c r="K86" s="15">
        <v>1.0</v>
      </c>
      <c r="L86" s="15">
        <v>3.0</v>
      </c>
      <c r="M86" s="15">
        <v>3.0</v>
      </c>
      <c r="N86" s="15">
        <v>1.0</v>
      </c>
      <c r="O86" s="15">
        <v>1.0</v>
      </c>
      <c r="P86" s="15">
        <v>1.0</v>
      </c>
      <c r="Q86" s="15" t="s">
        <v>56</v>
      </c>
      <c r="R86" s="15" t="s">
        <v>92</v>
      </c>
      <c r="S86" s="15" t="s">
        <v>57</v>
      </c>
      <c r="T86" s="22">
        <v>1.0</v>
      </c>
      <c r="U86" s="20">
        <f>+3</f>
        <v>3</v>
      </c>
      <c r="V86" s="21" t="s">
        <v>54</v>
      </c>
      <c r="X86" s="15" t="s">
        <v>113</v>
      </c>
      <c r="Y86" s="15" t="s">
        <v>53</v>
      </c>
      <c r="Z86" s="15">
        <v>5.0</v>
      </c>
      <c r="AA86" s="15">
        <v>1.0</v>
      </c>
      <c r="AB86" s="15">
        <v>1.0</v>
      </c>
      <c r="AC86" s="15">
        <v>4.0</v>
      </c>
      <c r="AD86" s="15">
        <v>5.0</v>
      </c>
      <c r="AE86" s="15">
        <v>1.0</v>
      </c>
      <c r="AF86" s="15">
        <v>3.0</v>
      </c>
      <c r="AG86" s="15">
        <v>3.0</v>
      </c>
      <c r="AH86" s="15">
        <v>1.0</v>
      </c>
      <c r="AI86" s="15">
        <v>1.0</v>
      </c>
      <c r="AJ86" s="15">
        <v>1.0</v>
      </c>
      <c r="AN86" s="15">
        <v>1.0</v>
      </c>
      <c r="AO86" s="19" t="s">
        <v>54</v>
      </c>
      <c r="AP86" s="15">
        <v>23.0</v>
      </c>
      <c r="AQ86" s="15" t="s">
        <v>67</v>
      </c>
      <c r="AR86" s="15" t="s">
        <v>60</v>
      </c>
      <c r="AS86" s="15" t="s">
        <v>61</v>
      </c>
      <c r="AT86" s="15" t="s">
        <v>62</v>
      </c>
      <c r="AU86" s="15" t="s">
        <v>211</v>
      </c>
      <c r="AV86" s="15" t="s">
        <v>212</v>
      </c>
    </row>
    <row r="87">
      <c r="A87" s="14">
        <v>45068.67906425926</v>
      </c>
      <c r="B87" s="15" t="s">
        <v>53</v>
      </c>
      <c r="C87" s="15" t="s">
        <v>53</v>
      </c>
      <c r="D87" s="15" t="s">
        <v>72</v>
      </c>
      <c r="E87" s="15" t="s">
        <v>53</v>
      </c>
      <c r="F87" s="15">
        <v>4.0</v>
      </c>
      <c r="G87" s="15">
        <v>2.0</v>
      </c>
      <c r="H87" s="15">
        <v>2.0</v>
      </c>
      <c r="I87" s="15">
        <v>4.0</v>
      </c>
      <c r="J87" s="15">
        <v>2.0</v>
      </c>
      <c r="K87" s="15">
        <v>4.0</v>
      </c>
      <c r="L87" s="15">
        <v>2.0</v>
      </c>
      <c r="M87" s="15">
        <v>3.0</v>
      </c>
      <c r="N87" s="15">
        <v>3.0</v>
      </c>
      <c r="O87" s="15">
        <v>3.0</v>
      </c>
      <c r="P87" s="15">
        <v>4.0</v>
      </c>
      <c r="Q87" s="15" t="s">
        <v>55</v>
      </c>
      <c r="R87" s="15" t="s">
        <v>56</v>
      </c>
      <c r="S87" s="15" t="s">
        <v>86</v>
      </c>
      <c r="T87" s="22">
        <v>5.0</v>
      </c>
      <c r="U87" s="17">
        <v>-2.0</v>
      </c>
      <c r="V87" s="18">
        <v>-2.0</v>
      </c>
      <c r="W87" s="15" t="s">
        <v>58</v>
      </c>
      <c r="Y87" s="15" t="s">
        <v>53</v>
      </c>
      <c r="Z87" s="15">
        <v>4.0</v>
      </c>
      <c r="AA87" s="15">
        <v>2.0</v>
      </c>
      <c r="AB87" s="15">
        <v>2.0</v>
      </c>
      <c r="AC87" s="15">
        <v>4.0</v>
      </c>
      <c r="AD87" s="15">
        <v>2.0</v>
      </c>
      <c r="AE87" s="15">
        <v>4.0</v>
      </c>
      <c r="AF87" s="15">
        <v>2.0</v>
      </c>
      <c r="AG87" s="15">
        <v>3.0</v>
      </c>
      <c r="AH87" s="15">
        <v>3.0</v>
      </c>
      <c r="AI87" s="15">
        <v>3.0</v>
      </c>
      <c r="AJ87" s="15">
        <v>4.0</v>
      </c>
      <c r="AN87" s="15">
        <v>5.0</v>
      </c>
      <c r="AO87" s="19">
        <v>-2.0</v>
      </c>
      <c r="AP87" s="15">
        <v>22.0</v>
      </c>
      <c r="AQ87" s="15" t="s">
        <v>59</v>
      </c>
      <c r="AR87" s="15" t="s">
        <v>166</v>
      </c>
      <c r="AS87" s="15" t="s">
        <v>61</v>
      </c>
      <c r="AT87" s="15" t="s">
        <v>69</v>
      </c>
      <c r="AU87" s="15" t="s">
        <v>213</v>
      </c>
    </row>
    <row r="88">
      <c r="A88" s="14">
        <v>45068.68002373843</v>
      </c>
      <c r="B88" s="15" t="s">
        <v>53</v>
      </c>
      <c r="C88" s="15" t="s">
        <v>53</v>
      </c>
      <c r="D88" s="15" t="s">
        <v>72</v>
      </c>
      <c r="E88" s="15" t="s">
        <v>53</v>
      </c>
      <c r="F88" s="15">
        <v>2.0</v>
      </c>
      <c r="G88" s="15">
        <v>4.0</v>
      </c>
      <c r="H88" s="15">
        <v>3.0</v>
      </c>
      <c r="I88" s="15">
        <v>4.0</v>
      </c>
      <c r="J88" s="15">
        <v>2.0</v>
      </c>
      <c r="K88" s="15">
        <v>1.0</v>
      </c>
      <c r="L88" s="15">
        <v>3.0</v>
      </c>
      <c r="M88" s="15">
        <v>2.0</v>
      </c>
      <c r="N88" s="15">
        <v>1.0</v>
      </c>
      <c r="O88" s="15">
        <v>1.0</v>
      </c>
      <c r="P88" s="15">
        <v>1.0</v>
      </c>
      <c r="Q88" s="15" t="s">
        <v>55</v>
      </c>
      <c r="R88" s="15" t="s">
        <v>83</v>
      </c>
      <c r="S88" s="15" t="s">
        <v>64</v>
      </c>
      <c r="T88" s="22">
        <v>4.0</v>
      </c>
      <c r="U88" s="20">
        <f>+1</f>
        <v>1</v>
      </c>
      <c r="V88" s="21" t="s">
        <v>72</v>
      </c>
      <c r="X88" s="15" t="s">
        <v>113</v>
      </c>
      <c r="Y88" s="15" t="s">
        <v>53</v>
      </c>
      <c r="Z88" s="15">
        <v>2.0</v>
      </c>
      <c r="AA88" s="15">
        <v>4.0</v>
      </c>
      <c r="AB88" s="15">
        <v>3.0</v>
      </c>
      <c r="AC88" s="15">
        <v>4.0</v>
      </c>
      <c r="AD88" s="15">
        <v>2.0</v>
      </c>
      <c r="AE88" s="15">
        <v>1.0</v>
      </c>
      <c r="AF88" s="15">
        <v>3.0</v>
      </c>
      <c r="AG88" s="15">
        <v>2.0</v>
      </c>
      <c r="AH88" s="15">
        <v>1.0</v>
      </c>
      <c r="AI88" s="15">
        <v>1.0</v>
      </c>
      <c r="AJ88" s="15">
        <v>1.0</v>
      </c>
      <c r="AN88" s="15">
        <v>4.0</v>
      </c>
      <c r="AO88" s="19" t="s">
        <v>72</v>
      </c>
      <c r="AP88" s="15">
        <v>21.0</v>
      </c>
      <c r="AQ88" s="15" t="s">
        <v>67</v>
      </c>
      <c r="AR88" s="15" t="s">
        <v>60</v>
      </c>
      <c r="AS88" s="15" t="s">
        <v>61</v>
      </c>
      <c r="AT88" s="15" t="s">
        <v>78</v>
      </c>
      <c r="AU88" s="15" t="s">
        <v>214</v>
      </c>
    </row>
    <row r="89">
      <c r="A89" s="14">
        <v>45068.682175625</v>
      </c>
      <c r="B89" s="15" t="s">
        <v>53</v>
      </c>
      <c r="C89" s="15" t="s">
        <v>53</v>
      </c>
      <c r="D89" s="15" t="s">
        <v>54</v>
      </c>
      <c r="E89" s="15" t="s">
        <v>53</v>
      </c>
      <c r="F89" s="15">
        <v>3.0</v>
      </c>
      <c r="G89" s="15">
        <v>2.0</v>
      </c>
      <c r="H89" s="15">
        <v>4.0</v>
      </c>
      <c r="I89" s="15">
        <v>3.0</v>
      </c>
      <c r="J89" s="15">
        <v>4.0</v>
      </c>
      <c r="K89" s="15">
        <v>3.0</v>
      </c>
      <c r="L89" s="15">
        <v>3.0</v>
      </c>
      <c r="M89" s="15">
        <v>3.0</v>
      </c>
      <c r="N89" s="15">
        <v>3.0</v>
      </c>
      <c r="O89" s="15">
        <v>3.0</v>
      </c>
      <c r="P89" s="15">
        <v>3.0</v>
      </c>
      <c r="Q89" s="15" t="s">
        <v>57</v>
      </c>
      <c r="R89" s="15" t="s">
        <v>56</v>
      </c>
      <c r="S89" s="15" t="s">
        <v>83</v>
      </c>
      <c r="T89" s="22">
        <v>3.0</v>
      </c>
      <c r="U89" s="20">
        <f>+2</f>
        <v>2</v>
      </c>
      <c r="V89" s="21" t="s">
        <v>65</v>
      </c>
      <c r="X89" s="15" t="s">
        <v>108</v>
      </c>
      <c r="Y89" s="15" t="s">
        <v>53</v>
      </c>
      <c r="Z89" s="15">
        <v>3.0</v>
      </c>
      <c r="AA89" s="15">
        <v>2.0</v>
      </c>
      <c r="AB89" s="15">
        <v>4.0</v>
      </c>
      <c r="AC89" s="15">
        <v>3.0</v>
      </c>
      <c r="AD89" s="15">
        <v>4.0</v>
      </c>
      <c r="AE89" s="15">
        <v>3.0</v>
      </c>
      <c r="AF89" s="15">
        <v>3.0</v>
      </c>
      <c r="AG89" s="15">
        <v>3.0</v>
      </c>
      <c r="AH89" s="15">
        <v>3.0</v>
      </c>
      <c r="AI89" s="15">
        <v>3.0</v>
      </c>
      <c r="AJ89" s="15">
        <v>3.0</v>
      </c>
      <c r="AN89" s="15">
        <v>3.0</v>
      </c>
      <c r="AO89" s="19" t="s">
        <v>65</v>
      </c>
      <c r="AP89" s="15">
        <v>19.0</v>
      </c>
      <c r="AQ89" s="15" t="s">
        <v>67</v>
      </c>
      <c r="AR89" s="15" t="s">
        <v>98</v>
      </c>
      <c r="AS89" s="15" t="s">
        <v>109</v>
      </c>
      <c r="AT89" s="15" t="s">
        <v>125</v>
      </c>
      <c r="AU89" s="15" t="s">
        <v>215</v>
      </c>
    </row>
    <row r="90">
      <c r="A90" s="14">
        <v>45068.68275501157</v>
      </c>
      <c r="B90" s="15" t="s">
        <v>53</v>
      </c>
      <c r="C90" s="15" t="s">
        <v>53</v>
      </c>
      <c r="D90" s="15" t="s">
        <v>85</v>
      </c>
      <c r="E90" s="15" t="s">
        <v>53</v>
      </c>
      <c r="F90" s="15">
        <v>4.0</v>
      </c>
      <c r="G90" s="15">
        <v>3.0</v>
      </c>
      <c r="H90" s="15">
        <v>3.0</v>
      </c>
      <c r="I90" s="15">
        <v>4.0</v>
      </c>
      <c r="J90" s="15">
        <v>3.0</v>
      </c>
      <c r="K90" s="15">
        <v>5.0</v>
      </c>
      <c r="L90" s="15">
        <v>1.0</v>
      </c>
      <c r="M90" s="15">
        <v>4.0</v>
      </c>
      <c r="N90" s="15">
        <v>4.0</v>
      </c>
      <c r="O90" s="15">
        <v>4.0</v>
      </c>
      <c r="P90" s="15">
        <v>4.0</v>
      </c>
      <c r="Q90" s="15" t="s">
        <v>55</v>
      </c>
      <c r="R90" s="15" t="s">
        <v>64</v>
      </c>
      <c r="S90" s="15" t="s">
        <v>57</v>
      </c>
      <c r="T90" s="22">
        <v>5.0</v>
      </c>
      <c r="U90" s="17">
        <v>-3.0</v>
      </c>
      <c r="V90" s="18">
        <v>-3.0</v>
      </c>
      <c r="W90" s="15" t="s">
        <v>80</v>
      </c>
      <c r="Y90" s="15" t="s">
        <v>53</v>
      </c>
      <c r="Z90" s="15">
        <v>4.0</v>
      </c>
      <c r="AA90" s="15">
        <v>3.0</v>
      </c>
      <c r="AB90" s="15">
        <v>3.0</v>
      </c>
      <c r="AC90" s="15">
        <v>4.0</v>
      </c>
      <c r="AD90" s="15">
        <v>3.0</v>
      </c>
      <c r="AE90" s="15">
        <v>5.0</v>
      </c>
      <c r="AF90" s="15">
        <v>1.0</v>
      </c>
      <c r="AG90" s="15">
        <v>4.0</v>
      </c>
      <c r="AH90" s="15">
        <v>4.0</v>
      </c>
      <c r="AI90" s="15">
        <v>4.0</v>
      </c>
      <c r="AJ90" s="15">
        <v>4.0</v>
      </c>
      <c r="AN90" s="15">
        <v>5.0</v>
      </c>
      <c r="AO90" s="19">
        <v>-3.0</v>
      </c>
      <c r="AP90" s="15">
        <v>26.0</v>
      </c>
      <c r="AQ90" s="15" t="s">
        <v>67</v>
      </c>
      <c r="AR90" s="15" t="s">
        <v>60</v>
      </c>
      <c r="AS90" s="15" t="s">
        <v>61</v>
      </c>
      <c r="AT90" s="15" t="s">
        <v>125</v>
      </c>
      <c r="AU90" s="15" t="s">
        <v>216</v>
      </c>
      <c r="AV90" s="15" t="s">
        <v>217</v>
      </c>
    </row>
    <row r="91">
      <c r="A91" s="14">
        <v>45068.68371054398</v>
      </c>
      <c r="B91" s="15" t="s">
        <v>53</v>
      </c>
      <c r="C91" s="15" t="s">
        <v>53</v>
      </c>
      <c r="D91" s="15" t="s">
        <v>72</v>
      </c>
      <c r="E91" s="15" t="s">
        <v>53</v>
      </c>
      <c r="F91" s="15">
        <v>2.0</v>
      </c>
      <c r="G91" s="15">
        <v>5.0</v>
      </c>
      <c r="H91" s="15">
        <v>5.0</v>
      </c>
      <c r="I91" s="15">
        <v>5.0</v>
      </c>
      <c r="J91" s="15">
        <v>2.0</v>
      </c>
      <c r="K91" s="15">
        <v>5.0</v>
      </c>
      <c r="L91" s="15">
        <v>1.0</v>
      </c>
      <c r="M91" s="15">
        <v>4.0</v>
      </c>
      <c r="N91" s="15">
        <v>5.0</v>
      </c>
      <c r="O91" s="15">
        <v>5.0</v>
      </c>
      <c r="P91" s="15">
        <v>5.0</v>
      </c>
      <c r="Q91" s="15" t="s">
        <v>55</v>
      </c>
      <c r="R91" s="15" t="s">
        <v>92</v>
      </c>
      <c r="S91" s="15" t="s">
        <v>64</v>
      </c>
      <c r="T91" s="22">
        <v>4.0</v>
      </c>
      <c r="U91" s="17">
        <v>-3.0</v>
      </c>
      <c r="V91" s="18">
        <v>-3.0</v>
      </c>
      <c r="W91" s="15" t="s">
        <v>66</v>
      </c>
      <c r="Y91" s="15" t="s">
        <v>53</v>
      </c>
      <c r="Z91" s="15">
        <v>2.0</v>
      </c>
      <c r="AA91" s="15">
        <v>5.0</v>
      </c>
      <c r="AB91" s="15">
        <v>5.0</v>
      </c>
      <c r="AC91" s="15">
        <v>5.0</v>
      </c>
      <c r="AD91" s="15">
        <v>2.0</v>
      </c>
      <c r="AE91" s="15">
        <v>5.0</v>
      </c>
      <c r="AF91" s="15">
        <v>1.0</v>
      </c>
      <c r="AG91" s="15">
        <v>4.0</v>
      </c>
      <c r="AH91" s="15">
        <v>5.0</v>
      </c>
      <c r="AI91" s="15">
        <v>5.0</v>
      </c>
      <c r="AJ91" s="15">
        <v>5.0</v>
      </c>
      <c r="AN91" s="15">
        <v>4.0</v>
      </c>
      <c r="AO91" s="19">
        <v>-3.0</v>
      </c>
      <c r="AP91" s="15">
        <v>18.0</v>
      </c>
      <c r="AQ91" s="15" t="s">
        <v>67</v>
      </c>
      <c r="AR91" s="15" t="s">
        <v>60</v>
      </c>
      <c r="AS91" s="15" t="s">
        <v>109</v>
      </c>
      <c r="AT91" s="15" t="s">
        <v>69</v>
      </c>
      <c r="AU91" s="15" t="s">
        <v>218</v>
      </c>
    </row>
    <row r="92">
      <c r="A92" s="14">
        <v>45068.68484640046</v>
      </c>
      <c r="B92" s="15" t="s">
        <v>53</v>
      </c>
      <c r="C92" s="15" t="s">
        <v>53</v>
      </c>
      <c r="D92" s="15">
        <v>-5.0</v>
      </c>
      <c r="E92" s="15" t="s">
        <v>53</v>
      </c>
      <c r="F92" s="15">
        <v>5.0</v>
      </c>
      <c r="G92" s="15">
        <v>1.0</v>
      </c>
      <c r="H92" s="15">
        <v>3.0</v>
      </c>
      <c r="I92" s="15">
        <v>5.0</v>
      </c>
      <c r="J92" s="15">
        <v>3.0</v>
      </c>
      <c r="K92" s="15">
        <v>5.0</v>
      </c>
      <c r="L92" s="15">
        <v>1.0</v>
      </c>
      <c r="M92" s="15">
        <v>1.0</v>
      </c>
      <c r="N92" s="15">
        <v>1.0</v>
      </c>
      <c r="O92" s="15">
        <v>1.0</v>
      </c>
      <c r="P92" s="15">
        <v>1.0</v>
      </c>
      <c r="Q92" s="15" t="s">
        <v>55</v>
      </c>
      <c r="R92" s="15" t="s">
        <v>57</v>
      </c>
      <c r="S92" s="15" t="s">
        <v>92</v>
      </c>
      <c r="T92" s="23">
        <v>4.0</v>
      </c>
      <c r="U92" s="24">
        <v>-5.0</v>
      </c>
      <c r="V92" s="25"/>
      <c r="W92" s="15" t="s">
        <v>80</v>
      </c>
      <c r="AO92" s="26"/>
      <c r="AP92" s="15">
        <v>28.0</v>
      </c>
      <c r="AQ92" s="15" t="s">
        <v>59</v>
      </c>
      <c r="AR92" s="15" t="s">
        <v>60</v>
      </c>
      <c r="AS92" s="15" t="s">
        <v>140</v>
      </c>
      <c r="AT92" s="15" t="s">
        <v>110</v>
      </c>
      <c r="AU92" s="15" t="s">
        <v>219</v>
      </c>
      <c r="AV92" s="15" t="s">
        <v>220</v>
      </c>
    </row>
    <row r="93">
      <c r="A93" s="14">
        <v>45068.69116553241</v>
      </c>
      <c r="B93" s="15" t="s">
        <v>53</v>
      </c>
      <c r="C93" s="15" t="s">
        <v>53</v>
      </c>
      <c r="D93" s="15">
        <v>-2.0</v>
      </c>
      <c r="E93" s="15" t="s">
        <v>53</v>
      </c>
      <c r="F93" s="15">
        <v>2.0</v>
      </c>
      <c r="G93" s="15">
        <v>4.0</v>
      </c>
      <c r="H93" s="15">
        <v>3.0</v>
      </c>
      <c r="I93" s="15">
        <v>5.0</v>
      </c>
      <c r="J93" s="15">
        <v>3.0</v>
      </c>
      <c r="K93" s="15">
        <v>2.0</v>
      </c>
      <c r="L93" s="15">
        <v>3.0</v>
      </c>
      <c r="M93" s="15">
        <v>4.0</v>
      </c>
      <c r="N93" s="15">
        <v>3.0</v>
      </c>
      <c r="O93" s="15">
        <v>3.0</v>
      </c>
      <c r="P93" s="15">
        <v>3.0</v>
      </c>
      <c r="Q93" s="15" t="s">
        <v>55</v>
      </c>
      <c r="R93" s="15" t="s">
        <v>64</v>
      </c>
      <c r="S93" s="15" t="s">
        <v>83</v>
      </c>
      <c r="T93" s="23">
        <v>5.0</v>
      </c>
      <c r="U93" s="24">
        <v>-3.0</v>
      </c>
      <c r="V93" s="25"/>
      <c r="W93" s="15" t="s">
        <v>221</v>
      </c>
      <c r="AO93" s="26"/>
      <c r="AP93" s="15">
        <v>20.0</v>
      </c>
      <c r="AQ93" s="15" t="s">
        <v>67</v>
      </c>
      <c r="AR93" s="15" t="s">
        <v>60</v>
      </c>
      <c r="AS93" s="15" t="s">
        <v>109</v>
      </c>
      <c r="AT93" s="15" t="s">
        <v>222</v>
      </c>
      <c r="AU93" s="15" t="s">
        <v>223</v>
      </c>
    </row>
    <row r="94">
      <c r="A94" s="14">
        <v>45068.69192952546</v>
      </c>
      <c r="B94" s="15" t="s">
        <v>53</v>
      </c>
      <c r="C94" s="15" t="s">
        <v>53</v>
      </c>
      <c r="D94" s="15" t="s">
        <v>54</v>
      </c>
      <c r="E94" s="15" t="s">
        <v>53</v>
      </c>
      <c r="F94" s="15">
        <v>3.0</v>
      </c>
      <c r="G94" s="15">
        <v>2.0</v>
      </c>
      <c r="H94" s="15">
        <v>3.0</v>
      </c>
      <c r="I94" s="15">
        <v>4.0</v>
      </c>
      <c r="J94" s="15">
        <v>3.0</v>
      </c>
      <c r="K94" s="15">
        <v>4.0</v>
      </c>
      <c r="L94" s="15">
        <v>2.0</v>
      </c>
      <c r="M94" s="15">
        <v>3.0</v>
      </c>
      <c r="N94" s="15">
        <v>4.0</v>
      </c>
      <c r="O94" s="15">
        <v>3.0</v>
      </c>
      <c r="P94" s="15">
        <v>3.0</v>
      </c>
      <c r="Q94" s="15" t="s">
        <v>55</v>
      </c>
      <c r="R94" s="15" t="s">
        <v>56</v>
      </c>
      <c r="S94" s="15" t="s">
        <v>83</v>
      </c>
      <c r="T94" s="22">
        <v>3.0</v>
      </c>
      <c r="U94" s="20">
        <f>+1</f>
        <v>1</v>
      </c>
      <c r="V94" s="21" t="s">
        <v>72</v>
      </c>
      <c r="X94" s="15" t="s">
        <v>66</v>
      </c>
      <c r="Y94" s="15" t="s">
        <v>53</v>
      </c>
      <c r="Z94" s="15">
        <v>3.0</v>
      </c>
      <c r="AA94" s="15">
        <v>2.0</v>
      </c>
      <c r="AB94" s="15">
        <v>3.0</v>
      </c>
      <c r="AC94" s="15">
        <v>4.0</v>
      </c>
      <c r="AD94" s="15">
        <v>3.0</v>
      </c>
      <c r="AE94" s="15">
        <v>4.0</v>
      </c>
      <c r="AF94" s="15">
        <v>2.0</v>
      </c>
      <c r="AG94" s="15">
        <v>3.0</v>
      </c>
      <c r="AH94" s="15">
        <v>4.0</v>
      </c>
      <c r="AI94" s="15">
        <v>3.0</v>
      </c>
      <c r="AJ94" s="15">
        <v>3.0</v>
      </c>
      <c r="AN94" s="15">
        <v>3.0</v>
      </c>
      <c r="AO94" s="19" t="s">
        <v>72</v>
      </c>
      <c r="AP94" s="15">
        <v>20.0</v>
      </c>
      <c r="AQ94" s="15" t="s">
        <v>67</v>
      </c>
      <c r="AR94" s="15" t="s">
        <v>68</v>
      </c>
      <c r="AS94" s="15" t="s">
        <v>61</v>
      </c>
      <c r="AT94" s="15" t="s">
        <v>78</v>
      </c>
      <c r="AU94" s="15" t="s">
        <v>224</v>
      </c>
    </row>
    <row r="95">
      <c r="A95" s="14">
        <v>45068.69395486111</v>
      </c>
      <c r="B95" s="15" t="s">
        <v>53</v>
      </c>
      <c r="C95" s="15" t="s">
        <v>53</v>
      </c>
      <c r="D95" s="15" t="s">
        <v>54</v>
      </c>
      <c r="E95" s="15" t="s">
        <v>97</v>
      </c>
      <c r="F95" s="15">
        <v>5.0</v>
      </c>
      <c r="G95" s="15">
        <v>1.0</v>
      </c>
      <c r="H95" s="15">
        <v>1.0</v>
      </c>
      <c r="I95" s="15">
        <v>4.0</v>
      </c>
      <c r="J95" s="15">
        <v>4.0</v>
      </c>
      <c r="K95" s="15">
        <v>5.0</v>
      </c>
      <c r="L95" s="15">
        <v>1.0</v>
      </c>
      <c r="M95" s="15">
        <v>3.0</v>
      </c>
      <c r="N95" s="15">
        <v>4.0</v>
      </c>
      <c r="O95" s="15">
        <v>3.0</v>
      </c>
      <c r="P95" s="15">
        <v>3.0</v>
      </c>
      <c r="Q95" s="15" t="s">
        <v>55</v>
      </c>
      <c r="R95" s="15" t="s">
        <v>83</v>
      </c>
      <c r="S95" s="15" t="s">
        <v>64</v>
      </c>
      <c r="T95" s="22">
        <v>4.0</v>
      </c>
      <c r="U95" s="20">
        <f>+2</f>
        <v>2</v>
      </c>
      <c r="V95" s="21" t="s">
        <v>65</v>
      </c>
      <c r="X95" s="15" t="s">
        <v>73</v>
      </c>
      <c r="Y95" s="15" t="s">
        <v>97</v>
      </c>
      <c r="Z95" s="15">
        <v>5.0</v>
      </c>
      <c r="AA95" s="15">
        <v>1.0</v>
      </c>
      <c r="AB95" s="15">
        <v>1.0</v>
      </c>
      <c r="AC95" s="15">
        <v>4.0</v>
      </c>
      <c r="AD95" s="15">
        <v>4.0</v>
      </c>
      <c r="AE95" s="15">
        <v>5.0</v>
      </c>
      <c r="AF95" s="15">
        <v>1.0</v>
      </c>
      <c r="AG95" s="15">
        <v>3.0</v>
      </c>
      <c r="AH95" s="15">
        <v>4.0</v>
      </c>
      <c r="AI95" s="15">
        <v>3.0</v>
      </c>
      <c r="AJ95" s="15">
        <v>3.0</v>
      </c>
      <c r="AN95" s="15">
        <v>4.0</v>
      </c>
      <c r="AO95" s="19" t="s">
        <v>65</v>
      </c>
      <c r="AP95" s="15">
        <v>50.0</v>
      </c>
      <c r="AQ95" s="15" t="s">
        <v>67</v>
      </c>
      <c r="AR95" s="15" t="s">
        <v>98</v>
      </c>
      <c r="AS95" s="15" t="s">
        <v>61</v>
      </c>
      <c r="AT95" s="15" t="s">
        <v>225</v>
      </c>
      <c r="AU95" s="15" t="s">
        <v>226</v>
      </c>
    </row>
    <row r="96">
      <c r="A96" s="14">
        <v>45068.694034050925</v>
      </c>
      <c r="B96" s="15" t="s">
        <v>53</v>
      </c>
      <c r="C96" s="15" t="s">
        <v>53</v>
      </c>
      <c r="D96" s="15">
        <v>-5.0</v>
      </c>
      <c r="E96" s="15" t="s">
        <v>97</v>
      </c>
      <c r="F96" s="15">
        <v>5.0</v>
      </c>
      <c r="G96" s="15">
        <v>1.0</v>
      </c>
      <c r="H96" s="15">
        <v>1.0</v>
      </c>
      <c r="I96" s="15">
        <v>3.0</v>
      </c>
      <c r="J96" s="15">
        <v>3.0</v>
      </c>
      <c r="K96" s="15">
        <v>2.0</v>
      </c>
      <c r="L96" s="15">
        <v>1.0</v>
      </c>
      <c r="M96" s="15">
        <v>1.0</v>
      </c>
      <c r="N96" s="15">
        <v>1.0</v>
      </c>
      <c r="O96" s="15">
        <v>1.0</v>
      </c>
      <c r="P96" s="15">
        <v>1.0</v>
      </c>
      <c r="Q96" s="15" t="s">
        <v>92</v>
      </c>
      <c r="R96" s="15" t="s">
        <v>57</v>
      </c>
      <c r="S96" s="15" t="s">
        <v>83</v>
      </c>
      <c r="T96" s="23">
        <v>5.0</v>
      </c>
      <c r="U96" s="24">
        <v>-5.0</v>
      </c>
      <c r="V96" s="25"/>
      <c r="W96" s="15" t="s">
        <v>58</v>
      </c>
      <c r="AO96" s="26"/>
      <c r="AP96" s="15">
        <v>22.0</v>
      </c>
      <c r="AQ96" s="15" t="s">
        <v>67</v>
      </c>
      <c r="AR96" s="15" t="s">
        <v>60</v>
      </c>
      <c r="AS96" s="15" t="s">
        <v>61</v>
      </c>
      <c r="AT96" s="15" t="s">
        <v>99</v>
      </c>
      <c r="AU96" s="15" t="s">
        <v>227</v>
      </c>
    </row>
    <row r="97">
      <c r="A97" s="14">
        <v>45068.69544738426</v>
      </c>
      <c r="B97" s="15" t="s">
        <v>53</v>
      </c>
      <c r="C97" s="15" t="s">
        <v>53</v>
      </c>
      <c r="D97" s="15" t="s">
        <v>85</v>
      </c>
      <c r="E97" s="15" t="s">
        <v>53</v>
      </c>
      <c r="F97" s="15">
        <v>5.0</v>
      </c>
      <c r="G97" s="15">
        <v>1.0</v>
      </c>
      <c r="H97" s="15">
        <v>1.0</v>
      </c>
      <c r="I97" s="15">
        <v>3.0</v>
      </c>
      <c r="J97" s="15">
        <v>5.0</v>
      </c>
      <c r="K97" s="15">
        <v>5.0</v>
      </c>
      <c r="L97" s="15">
        <v>3.0</v>
      </c>
      <c r="M97" s="15">
        <v>4.0</v>
      </c>
      <c r="N97" s="15">
        <v>1.0</v>
      </c>
      <c r="O97" s="15">
        <v>1.0</v>
      </c>
      <c r="P97" s="15">
        <v>1.0</v>
      </c>
      <c r="Q97" s="15" t="s">
        <v>64</v>
      </c>
      <c r="R97" s="15" t="s">
        <v>56</v>
      </c>
      <c r="S97" s="15" t="s">
        <v>57</v>
      </c>
      <c r="T97" s="22">
        <v>4.0</v>
      </c>
      <c r="U97" s="20">
        <f>+4</f>
        <v>4</v>
      </c>
      <c r="V97" s="21" t="s">
        <v>85</v>
      </c>
      <c r="X97" s="15" t="s">
        <v>77</v>
      </c>
      <c r="Y97" s="15" t="s">
        <v>53</v>
      </c>
      <c r="Z97" s="15">
        <v>5.0</v>
      </c>
      <c r="AA97" s="15">
        <v>1.0</v>
      </c>
      <c r="AB97" s="15">
        <v>1.0</v>
      </c>
      <c r="AC97" s="15">
        <v>3.0</v>
      </c>
      <c r="AD97" s="15">
        <v>5.0</v>
      </c>
      <c r="AE97" s="15">
        <v>5.0</v>
      </c>
      <c r="AF97" s="15">
        <v>3.0</v>
      </c>
      <c r="AG97" s="15">
        <v>4.0</v>
      </c>
      <c r="AH97" s="15">
        <v>1.0</v>
      </c>
      <c r="AI97" s="15">
        <v>1.0</v>
      </c>
      <c r="AJ97" s="15">
        <v>1.0</v>
      </c>
      <c r="AN97" s="15">
        <v>4.0</v>
      </c>
      <c r="AO97" s="19" t="s">
        <v>85</v>
      </c>
      <c r="AP97" s="15">
        <v>39.0</v>
      </c>
      <c r="AQ97" s="15" t="s">
        <v>67</v>
      </c>
      <c r="AR97" s="15" t="s">
        <v>60</v>
      </c>
      <c r="AS97" s="15" t="s">
        <v>140</v>
      </c>
      <c r="AT97" s="15" t="s">
        <v>105</v>
      </c>
      <c r="AU97" s="15" t="s">
        <v>228</v>
      </c>
      <c r="AV97" s="15" t="s">
        <v>229</v>
      </c>
    </row>
    <row r="98">
      <c r="A98" s="14">
        <v>45068.69588153935</v>
      </c>
      <c r="B98" s="15" t="s">
        <v>53</v>
      </c>
      <c r="C98" s="15" t="s">
        <v>53</v>
      </c>
      <c r="D98" s="15" t="s">
        <v>85</v>
      </c>
      <c r="E98" s="15" t="s">
        <v>53</v>
      </c>
      <c r="F98" s="15">
        <v>4.0</v>
      </c>
      <c r="G98" s="15">
        <v>2.0</v>
      </c>
      <c r="H98" s="15">
        <v>2.0</v>
      </c>
      <c r="I98" s="15">
        <v>4.0</v>
      </c>
      <c r="J98" s="15">
        <v>4.0</v>
      </c>
      <c r="K98" s="15">
        <v>4.0</v>
      </c>
      <c r="L98" s="15">
        <v>1.0</v>
      </c>
      <c r="M98" s="15">
        <v>4.0</v>
      </c>
      <c r="N98" s="15">
        <v>4.0</v>
      </c>
      <c r="O98" s="15">
        <v>5.0</v>
      </c>
      <c r="P98" s="15">
        <v>4.0</v>
      </c>
      <c r="Q98" s="15" t="s">
        <v>55</v>
      </c>
      <c r="R98" s="15" t="s">
        <v>64</v>
      </c>
      <c r="S98" s="15" t="s">
        <v>57</v>
      </c>
      <c r="T98" s="22">
        <v>4.0</v>
      </c>
      <c r="U98" s="17">
        <v>-4.0</v>
      </c>
      <c r="V98" s="18">
        <v>-4.0</v>
      </c>
      <c r="W98" s="15" t="s">
        <v>80</v>
      </c>
      <c r="Y98" s="15" t="s">
        <v>53</v>
      </c>
      <c r="Z98" s="15">
        <v>4.0</v>
      </c>
      <c r="AA98" s="15">
        <v>2.0</v>
      </c>
      <c r="AB98" s="15">
        <v>2.0</v>
      </c>
      <c r="AC98" s="15">
        <v>4.0</v>
      </c>
      <c r="AD98" s="15">
        <v>4.0</v>
      </c>
      <c r="AE98" s="15">
        <v>4.0</v>
      </c>
      <c r="AF98" s="15">
        <v>1.0</v>
      </c>
      <c r="AG98" s="15">
        <v>4.0</v>
      </c>
      <c r="AH98" s="15">
        <v>4.0</v>
      </c>
      <c r="AI98" s="15">
        <v>5.0</v>
      </c>
      <c r="AJ98" s="15">
        <v>4.0</v>
      </c>
      <c r="AN98" s="15">
        <v>4.0</v>
      </c>
      <c r="AO98" s="19">
        <v>-4.0</v>
      </c>
      <c r="AP98" s="15">
        <v>19.0</v>
      </c>
      <c r="AQ98" s="15" t="s">
        <v>67</v>
      </c>
      <c r="AR98" s="15" t="s">
        <v>68</v>
      </c>
      <c r="AS98" s="15" t="s">
        <v>61</v>
      </c>
      <c r="AT98" s="15" t="s">
        <v>78</v>
      </c>
      <c r="AU98" s="15" t="s">
        <v>230</v>
      </c>
    </row>
    <row r="99">
      <c r="A99" s="14">
        <v>45068.69638461806</v>
      </c>
      <c r="B99" s="15" t="s">
        <v>53</v>
      </c>
      <c r="C99" s="15" t="s">
        <v>53</v>
      </c>
      <c r="D99" s="15" t="s">
        <v>54</v>
      </c>
      <c r="E99" s="15" t="s">
        <v>53</v>
      </c>
      <c r="F99" s="15">
        <v>4.0</v>
      </c>
      <c r="G99" s="15">
        <v>4.0</v>
      </c>
      <c r="H99" s="15">
        <v>2.0</v>
      </c>
      <c r="I99" s="15">
        <v>4.0</v>
      </c>
      <c r="J99" s="15">
        <v>4.0</v>
      </c>
      <c r="K99" s="15">
        <v>2.0</v>
      </c>
      <c r="L99" s="15">
        <v>2.0</v>
      </c>
      <c r="M99" s="15">
        <v>4.0</v>
      </c>
      <c r="N99" s="15">
        <v>3.0</v>
      </c>
      <c r="O99" s="15">
        <v>3.0</v>
      </c>
      <c r="P99" s="15">
        <v>2.0</v>
      </c>
      <c r="Q99" s="15" t="s">
        <v>55</v>
      </c>
      <c r="R99" s="15" t="s">
        <v>57</v>
      </c>
      <c r="S99" s="15" t="s">
        <v>83</v>
      </c>
      <c r="T99" s="22">
        <v>5.0</v>
      </c>
      <c r="U99" s="20">
        <f>+3</f>
        <v>3</v>
      </c>
      <c r="V99" s="21" t="s">
        <v>54</v>
      </c>
      <c r="X99" s="15" t="s">
        <v>66</v>
      </c>
      <c r="Y99" s="15" t="s">
        <v>53</v>
      </c>
      <c r="Z99" s="15">
        <v>4.0</v>
      </c>
      <c r="AA99" s="15">
        <v>4.0</v>
      </c>
      <c r="AB99" s="15">
        <v>2.0</v>
      </c>
      <c r="AC99" s="15">
        <v>4.0</v>
      </c>
      <c r="AD99" s="15">
        <v>4.0</v>
      </c>
      <c r="AE99" s="15">
        <v>2.0</v>
      </c>
      <c r="AF99" s="15">
        <v>2.0</v>
      </c>
      <c r="AG99" s="15">
        <v>4.0</v>
      </c>
      <c r="AH99" s="15">
        <v>3.0</v>
      </c>
      <c r="AI99" s="15">
        <v>3.0</v>
      </c>
      <c r="AJ99" s="15">
        <v>2.0</v>
      </c>
      <c r="AN99" s="15">
        <v>5.0</v>
      </c>
      <c r="AO99" s="19" t="s">
        <v>54</v>
      </c>
      <c r="AP99" s="15">
        <v>21.0</v>
      </c>
      <c r="AQ99" s="15" t="s">
        <v>59</v>
      </c>
      <c r="AR99" s="15" t="s">
        <v>60</v>
      </c>
      <c r="AS99" s="15" t="s">
        <v>61</v>
      </c>
      <c r="AT99" s="15" t="s">
        <v>74</v>
      </c>
      <c r="AU99" s="15" t="s">
        <v>231</v>
      </c>
      <c r="AV99" s="15" t="s">
        <v>232</v>
      </c>
    </row>
    <row r="100">
      <c r="A100" s="14">
        <v>45068.70020177083</v>
      </c>
      <c r="B100" s="15" t="s">
        <v>53</v>
      </c>
      <c r="C100" s="15" t="s">
        <v>53</v>
      </c>
      <c r="D100" s="15" t="s">
        <v>54</v>
      </c>
      <c r="E100" s="15" t="s">
        <v>97</v>
      </c>
      <c r="F100" s="15">
        <v>1.0</v>
      </c>
      <c r="G100" s="15">
        <v>4.0</v>
      </c>
      <c r="H100" s="15">
        <v>5.0</v>
      </c>
      <c r="I100" s="15">
        <v>5.0</v>
      </c>
      <c r="J100" s="15">
        <v>1.0</v>
      </c>
      <c r="K100" s="15">
        <v>2.0</v>
      </c>
      <c r="L100" s="15">
        <v>3.0</v>
      </c>
      <c r="M100" s="15">
        <v>4.0</v>
      </c>
      <c r="N100" s="15">
        <v>3.0</v>
      </c>
      <c r="O100" s="15">
        <v>2.0</v>
      </c>
      <c r="P100" s="15">
        <v>2.0</v>
      </c>
      <c r="Q100" s="15" t="s">
        <v>55</v>
      </c>
      <c r="R100" s="15" t="s">
        <v>64</v>
      </c>
      <c r="S100" s="15" t="s">
        <v>56</v>
      </c>
      <c r="T100" s="22">
        <v>4.0</v>
      </c>
      <c r="U100" s="20">
        <f t="shared" ref="U100:U101" si="4">+1</f>
        <v>1</v>
      </c>
      <c r="V100" s="21" t="s">
        <v>72</v>
      </c>
      <c r="X100" s="15" t="s">
        <v>66</v>
      </c>
      <c r="Y100" s="15" t="s">
        <v>97</v>
      </c>
      <c r="Z100" s="15">
        <v>1.0</v>
      </c>
      <c r="AA100" s="15">
        <v>4.0</v>
      </c>
      <c r="AB100" s="15">
        <v>5.0</v>
      </c>
      <c r="AC100" s="15">
        <v>5.0</v>
      </c>
      <c r="AD100" s="15">
        <v>1.0</v>
      </c>
      <c r="AE100" s="15">
        <v>2.0</v>
      </c>
      <c r="AF100" s="15">
        <v>3.0</v>
      </c>
      <c r="AG100" s="15">
        <v>4.0</v>
      </c>
      <c r="AH100" s="15">
        <v>3.0</v>
      </c>
      <c r="AI100" s="15">
        <v>2.0</v>
      </c>
      <c r="AJ100" s="15">
        <v>2.0</v>
      </c>
      <c r="AN100" s="15">
        <v>4.0</v>
      </c>
      <c r="AO100" s="19" t="s">
        <v>72</v>
      </c>
      <c r="AP100" s="15">
        <v>21.0</v>
      </c>
      <c r="AQ100" s="15" t="s">
        <v>59</v>
      </c>
      <c r="AR100" s="15" t="s">
        <v>98</v>
      </c>
      <c r="AS100" s="15" t="s">
        <v>61</v>
      </c>
      <c r="AT100" s="15" t="s">
        <v>93</v>
      </c>
      <c r="AU100" s="15" t="s">
        <v>233</v>
      </c>
    </row>
    <row r="101">
      <c r="A101" s="14">
        <v>45068.70244734954</v>
      </c>
      <c r="B101" s="15" t="s">
        <v>53</v>
      </c>
      <c r="C101" s="15" t="s">
        <v>53</v>
      </c>
      <c r="D101" s="15" t="s">
        <v>72</v>
      </c>
      <c r="E101" s="15" t="s">
        <v>53</v>
      </c>
      <c r="F101" s="15">
        <v>5.0</v>
      </c>
      <c r="G101" s="15">
        <v>1.0</v>
      </c>
      <c r="H101" s="15">
        <v>1.0</v>
      </c>
      <c r="I101" s="15">
        <v>3.0</v>
      </c>
      <c r="J101" s="15">
        <v>4.0</v>
      </c>
      <c r="K101" s="15">
        <v>3.0</v>
      </c>
      <c r="L101" s="15">
        <v>1.0</v>
      </c>
      <c r="M101" s="15">
        <v>3.0</v>
      </c>
      <c r="N101" s="15">
        <v>3.0</v>
      </c>
      <c r="O101" s="15">
        <v>3.0</v>
      </c>
      <c r="P101" s="15">
        <v>3.0</v>
      </c>
      <c r="Q101" s="15" t="s">
        <v>55</v>
      </c>
      <c r="R101" s="15" t="s">
        <v>92</v>
      </c>
      <c r="S101" s="15" t="s">
        <v>64</v>
      </c>
      <c r="T101" s="22">
        <v>5.0</v>
      </c>
      <c r="U101" s="20">
        <f t="shared" si="4"/>
        <v>1</v>
      </c>
      <c r="V101" s="21" t="s">
        <v>72</v>
      </c>
      <c r="X101" s="15" t="s">
        <v>113</v>
      </c>
      <c r="Y101" s="15" t="s">
        <v>53</v>
      </c>
      <c r="Z101" s="15">
        <v>5.0</v>
      </c>
      <c r="AA101" s="15">
        <v>1.0</v>
      </c>
      <c r="AB101" s="15">
        <v>1.0</v>
      </c>
      <c r="AC101" s="15">
        <v>3.0</v>
      </c>
      <c r="AD101" s="15">
        <v>4.0</v>
      </c>
      <c r="AE101" s="15">
        <v>3.0</v>
      </c>
      <c r="AF101" s="15">
        <v>1.0</v>
      </c>
      <c r="AG101" s="15">
        <v>3.0</v>
      </c>
      <c r="AH101" s="15">
        <v>3.0</v>
      </c>
      <c r="AI101" s="15">
        <v>3.0</v>
      </c>
      <c r="AJ101" s="15">
        <v>3.0</v>
      </c>
      <c r="AN101" s="15">
        <v>5.0</v>
      </c>
      <c r="AO101" s="19" t="s">
        <v>72</v>
      </c>
      <c r="AP101" s="15">
        <v>42.0</v>
      </c>
      <c r="AQ101" s="15" t="s">
        <v>59</v>
      </c>
      <c r="AR101" s="15" t="s">
        <v>120</v>
      </c>
      <c r="AS101" s="15" t="s">
        <v>61</v>
      </c>
      <c r="AT101" s="15" t="s">
        <v>93</v>
      </c>
      <c r="AU101" s="15" t="s">
        <v>234</v>
      </c>
    </row>
    <row r="102">
      <c r="A102" s="14">
        <v>45068.70411637731</v>
      </c>
      <c r="B102" s="15" t="s">
        <v>53</v>
      </c>
      <c r="C102" s="15" t="s">
        <v>53</v>
      </c>
      <c r="D102" s="15" t="s">
        <v>72</v>
      </c>
      <c r="E102" s="15" t="s">
        <v>53</v>
      </c>
      <c r="F102" s="15">
        <v>3.0</v>
      </c>
      <c r="G102" s="15">
        <v>3.0</v>
      </c>
      <c r="H102" s="15">
        <v>1.0</v>
      </c>
      <c r="I102" s="15">
        <v>3.0</v>
      </c>
      <c r="J102" s="15">
        <v>3.0</v>
      </c>
      <c r="K102" s="15">
        <v>1.0</v>
      </c>
      <c r="L102" s="15">
        <v>3.0</v>
      </c>
      <c r="M102" s="15">
        <v>3.0</v>
      </c>
      <c r="N102" s="15">
        <v>2.0</v>
      </c>
      <c r="O102" s="15">
        <v>2.0</v>
      </c>
      <c r="P102" s="15">
        <v>2.0</v>
      </c>
      <c r="Q102" s="15" t="s">
        <v>55</v>
      </c>
      <c r="R102" s="15" t="s">
        <v>64</v>
      </c>
      <c r="S102" s="15" t="s">
        <v>92</v>
      </c>
      <c r="T102" s="22">
        <v>2.0</v>
      </c>
      <c r="U102" s="17">
        <v>-2.0</v>
      </c>
      <c r="V102" s="18">
        <v>-2.0</v>
      </c>
      <c r="W102" s="15" t="s">
        <v>58</v>
      </c>
      <c r="Y102" s="15" t="s">
        <v>53</v>
      </c>
      <c r="Z102" s="15">
        <v>3.0</v>
      </c>
      <c r="AA102" s="15">
        <v>3.0</v>
      </c>
      <c r="AB102" s="15">
        <v>1.0</v>
      </c>
      <c r="AC102" s="15">
        <v>3.0</v>
      </c>
      <c r="AD102" s="15">
        <v>3.0</v>
      </c>
      <c r="AE102" s="15">
        <v>1.0</v>
      </c>
      <c r="AF102" s="15">
        <v>3.0</v>
      </c>
      <c r="AG102" s="15">
        <v>3.0</v>
      </c>
      <c r="AH102" s="15">
        <v>2.0</v>
      </c>
      <c r="AI102" s="15">
        <v>2.0</v>
      </c>
      <c r="AJ102" s="15">
        <v>2.0</v>
      </c>
      <c r="AN102" s="15">
        <v>2.0</v>
      </c>
      <c r="AO102" s="19">
        <v>-2.0</v>
      </c>
      <c r="AP102" s="15">
        <v>32.0</v>
      </c>
      <c r="AQ102" s="15" t="s">
        <v>67</v>
      </c>
      <c r="AR102" s="15" t="s">
        <v>60</v>
      </c>
      <c r="AS102" s="15" t="s">
        <v>61</v>
      </c>
      <c r="AT102" s="15" t="s">
        <v>69</v>
      </c>
      <c r="AU102" s="15" t="s">
        <v>235</v>
      </c>
    </row>
    <row r="103">
      <c r="A103" s="14">
        <v>45068.70456246528</v>
      </c>
      <c r="B103" s="15" t="s">
        <v>53</v>
      </c>
      <c r="C103" s="15" t="s">
        <v>53</v>
      </c>
      <c r="D103" s="15" t="s">
        <v>85</v>
      </c>
      <c r="E103" s="15" t="s">
        <v>53</v>
      </c>
      <c r="F103" s="15">
        <v>4.0</v>
      </c>
      <c r="G103" s="15">
        <v>2.0</v>
      </c>
      <c r="H103" s="15">
        <v>2.0</v>
      </c>
      <c r="I103" s="15">
        <v>4.0</v>
      </c>
      <c r="J103" s="15">
        <v>3.0</v>
      </c>
      <c r="K103" s="15">
        <v>3.0</v>
      </c>
      <c r="L103" s="15">
        <v>3.0</v>
      </c>
      <c r="M103" s="15">
        <v>2.0</v>
      </c>
      <c r="N103" s="15">
        <v>2.0</v>
      </c>
      <c r="O103" s="15">
        <v>2.0</v>
      </c>
      <c r="P103" s="15">
        <v>2.0</v>
      </c>
      <c r="Q103" s="15" t="s">
        <v>56</v>
      </c>
      <c r="R103" s="15" t="s">
        <v>64</v>
      </c>
      <c r="S103" s="15" t="s">
        <v>64</v>
      </c>
      <c r="T103" s="22">
        <v>2.0</v>
      </c>
      <c r="U103" s="20">
        <f>+3</f>
        <v>3</v>
      </c>
      <c r="V103" s="21" t="s">
        <v>54</v>
      </c>
      <c r="X103" s="15" t="s">
        <v>113</v>
      </c>
      <c r="Y103" s="15" t="s">
        <v>53</v>
      </c>
      <c r="Z103" s="15">
        <v>4.0</v>
      </c>
      <c r="AA103" s="15">
        <v>2.0</v>
      </c>
      <c r="AB103" s="15">
        <v>2.0</v>
      </c>
      <c r="AC103" s="15">
        <v>4.0</v>
      </c>
      <c r="AD103" s="15">
        <v>3.0</v>
      </c>
      <c r="AE103" s="15">
        <v>3.0</v>
      </c>
      <c r="AF103" s="15">
        <v>3.0</v>
      </c>
      <c r="AG103" s="15">
        <v>2.0</v>
      </c>
      <c r="AH103" s="15">
        <v>2.0</v>
      </c>
      <c r="AI103" s="15">
        <v>2.0</v>
      </c>
      <c r="AJ103" s="15">
        <v>2.0</v>
      </c>
      <c r="AN103" s="15">
        <v>2.0</v>
      </c>
      <c r="AO103" s="19" t="s">
        <v>54</v>
      </c>
      <c r="AP103" s="15">
        <v>39.0</v>
      </c>
      <c r="AQ103" s="15" t="s">
        <v>67</v>
      </c>
      <c r="AR103" s="15" t="s">
        <v>68</v>
      </c>
      <c r="AS103" s="15" t="s">
        <v>140</v>
      </c>
      <c r="AT103" s="15" t="s">
        <v>105</v>
      </c>
      <c r="AU103" s="15" t="s">
        <v>236</v>
      </c>
    </row>
    <row r="104">
      <c r="A104" s="14">
        <v>45068.71058532408</v>
      </c>
      <c r="B104" s="15" t="s">
        <v>53</v>
      </c>
      <c r="C104" s="15" t="s">
        <v>97</v>
      </c>
      <c r="D104" s="15">
        <v>-1.0</v>
      </c>
      <c r="E104" s="15" t="s">
        <v>97</v>
      </c>
      <c r="F104" s="15">
        <v>3.0</v>
      </c>
      <c r="G104" s="15">
        <v>3.0</v>
      </c>
      <c r="H104" s="15">
        <v>3.0</v>
      </c>
      <c r="I104" s="15">
        <v>3.0</v>
      </c>
      <c r="J104" s="15">
        <v>2.0</v>
      </c>
      <c r="K104" s="15">
        <v>3.0</v>
      </c>
      <c r="L104" s="15">
        <v>3.0</v>
      </c>
      <c r="M104" s="15">
        <v>2.0</v>
      </c>
      <c r="N104" s="15">
        <v>2.0</v>
      </c>
      <c r="O104" s="15">
        <v>2.0</v>
      </c>
      <c r="P104" s="15">
        <v>2.0</v>
      </c>
      <c r="Q104" s="15" t="s">
        <v>101</v>
      </c>
      <c r="R104" s="15" t="s">
        <v>101</v>
      </c>
      <c r="S104" s="15" t="s">
        <v>101</v>
      </c>
      <c r="T104" s="23">
        <v>4.0</v>
      </c>
      <c r="U104" s="24">
        <v>-1.0</v>
      </c>
      <c r="V104" s="25"/>
      <c r="W104" s="15" t="s">
        <v>102</v>
      </c>
      <c r="AO104" s="26"/>
      <c r="AP104" s="15">
        <v>34.0</v>
      </c>
      <c r="AQ104" s="15" t="s">
        <v>67</v>
      </c>
      <c r="AR104" s="15" t="s">
        <v>60</v>
      </c>
      <c r="AS104" s="15" t="s">
        <v>109</v>
      </c>
      <c r="AT104" s="15" t="s">
        <v>93</v>
      </c>
      <c r="AU104" s="15" t="s">
        <v>237</v>
      </c>
    </row>
    <row r="105">
      <c r="A105" s="14">
        <v>45068.713938518515</v>
      </c>
      <c r="B105" s="15" t="s">
        <v>53</v>
      </c>
      <c r="C105" s="15" t="s">
        <v>53</v>
      </c>
      <c r="D105" s="15" t="s">
        <v>72</v>
      </c>
      <c r="E105" s="15" t="s">
        <v>53</v>
      </c>
      <c r="F105" s="15">
        <v>5.0</v>
      </c>
      <c r="G105" s="15">
        <v>1.0</v>
      </c>
      <c r="H105" s="15">
        <v>1.0</v>
      </c>
      <c r="I105" s="15">
        <v>5.0</v>
      </c>
      <c r="J105" s="15">
        <v>3.0</v>
      </c>
      <c r="K105" s="15">
        <v>3.0</v>
      </c>
      <c r="L105" s="15">
        <v>1.0</v>
      </c>
      <c r="M105" s="15">
        <v>1.0</v>
      </c>
      <c r="N105" s="15">
        <v>1.0</v>
      </c>
      <c r="O105" s="15">
        <v>1.0</v>
      </c>
      <c r="P105" s="15">
        <v>1.0</v>
      </c>
      <c r="Q105" s="15" t="s">
        <v>64</v>
      </c>
      <c r="R105" s="15" t="s">
        <v>55</v>
      </c>
      <c r="S105" s="15" t="s">
        <v>92</v>
      </c>
      <c r="T105" s="22">
        <v>2.0</v>
      </c>
      <c r="U105" s="20">
        <f>+1</f>
        <v>1</v>
      </c>
      <c r="V105" s="21" t="s">
        <v>72</v>
      </c>
      <c r="X105" s="15" t="s">
        <v>238</v>
      </c>
      <c r="Y105" s="15" t="s">
        <v>53</v>
      </c>
      <c r="Z105" s="15">
        <v>5.0</v>
      </c>
      <c r="AA105" s="15">
        <v>1.0</v>
      </c>
      <c r="AB105" s="15">
        <v>1.0</v>
      </c>
      <c r="AC105" s="15">
        <v>5.0</v>
      </c>
      <c r="AD105" s="15">
        <v>3.0</v>
      </c>
      <c r="AE105" s="15">
        <v>3.0</v>
      </c>
      <c r="AF105" s="15">
        <v>1.0</v>
      </c>
      <c r="AG105" s="15">
        <v>1.0</v>
      </c>
      <c r="AH105" s="15">
        <v>1.0</v>
      </c>
      <c r="AI105" s="15">
        <v>1.0</v>
      </c>
      <c r="AJ105" s="15">
        <v>1.0</v>
      </c>
      <c r="AN105" s="15">
        <v>2.0</v>
      </c>
      <c r="AO105" s="19" t="s">
        <v>72</v>
      </c>
      <c r="AP105" s="15">
        <v>28.0</v>
      </c>
      <c r="AQ105" s="15" t="s">
        <v>59</v>
      </c>
      <c r="AR105" s="15" t="s">
        <v>239</v>
      </c>
      <c r="AS105" s="15" t="s">
        <v>140</v>
      </c>
      <c r="AT105" s="15" t="s">
        <v>93</v>
      </c>
      <c r="AU105" s="15" t="s">
        <v>240</v>
      </c>
    </row>
    <row r="106">
      <c r="A106" s="14">
        <v>45068.71428364584</v>
      </c>
      <c r="B106" s="15" t="s">
        <v>53</v>
      </c>
      <c r="C106" s="15" t="s">
        <v>53</v>
      </c>
      <c r="D106" s="15" t="s">
        <v>65</v>
      </c>
      <c r="E106" s="15" t="s">
        <v>53</v>
      </c>
      <c r="F106" s="15">
        <v>2.0</v>
      </c>
      <c r="G106" s="15">
        <v>3.0</v>
      </c>
      <c r="H106" s="15">
        <v>4.0</v>
      </c>
      <c r="I106" s="15">
        <v>5.0</v>
      </c>
      <c r="J106" s="15">
        <v>2.0</v>
      </c>
      <c r="K106" s="15">
        <v>4.0</v>
      </c>
      <c r="L106" s="15">
        <v>2.0</v>
      </c>
      <c r="M106" s="15">
        <v>3.0</v>
      </c>
      <c r="N106" s="15">
        <v>4.0</v>
      </c>
      <c r="O106" s="15">
        <v>4.0</v>
      </c>
      <c r="P106" s="15">
        <v>3.0</v>
      </c>
      <c r="Q106" s="15" t="s">
        <v>55</v>
      </c>
      <c r="R106" s="15" t="s">
        <v>57</v>
      </c>
      <c r="S106" s="15" t="s">
        <v>64</v>
      </c>
      <c r="T106" s="22">
        <v>4.0</v>
      </c>
      <c r="U106" s="17">
        <v>-2.0</v>
      </c>
      <c r="V106" s="18">
        <v>-2.0</v>
      </c>
      <c r="W106" s="15" t="s">
        <v>66</v>
      </c>
      <c r="Y106" s="15" t="s">
        <v>53</v>
      </c>
      <c r="Z106" s="15">
        <v>2.0</v>
      </c>
      <c r="AA106" s="15">
        <v>3.0</v>
      </c>
      <c r="AB106" s="15">
        <v>4.0</v>
      </c>
      <c r="AC106" s="15">
        <v>5.0</v>
      </c>
      <c r="AD106" s="15">
        <v>2.0</v>
      </c>
      <c r="AE106" s="15">
        <v>4.0</v>
      </c>
      <c r="AF106" s="15">
        <v>2.0</v>
      </c>
      <c r="AG106" s="15">
        <v>3.0</v>
      </c>
      <c r="AH106" s="15">
        <v>4.0</v>
      </c>
      <c r="AI106" s="15">
        <v>4.0</v>
      </c>
      <c r="AJ106" s="15">
        <v>3.0</v>
      </c>
      <c r="AN106" s="15">
        <v>4.0</v>
      </c>
      <c r="AO106" s="19">
        <v>-2.0</v>
      </c>
      <c r="AP106" s="15">
        <v>22.0</v>
      </c>
      <c r="AQ106" s="15" t="s">
        <v>67</v>
      </c>
      <c r="AR106" s="15" t="s">
        <v>120</v>
      </c>
      <c r="AS106" s="15" t="s">
        <v>61</v>
      </c>
      <c r="AT106" s="15" t="s">
        <v>78</v>
      </c>
      <c r="AU106" s="15" t="s">
        <v>241</v>
      </c>
    </row>
    <row r="107">
      <c r="A107" s="14">
        <v>45068.71504144676</v>
      </c>
      <c r="B107" s="15" t="s">
        <v>53</v>
      </c>
      <c r="C107" s="15" t="s">
        <v>53</v>
      </c>
      <c r="D107" s="15" t="s">
        <v>72</v>
      </c>
      <c r="E107" s="15" t="s">
        <v>53</v>
      </c>
      <c r="F107" s="15">
        <v>3.0</v>
      </c>
      <c r="G107" s="15">
        <v>2.0</v>
      </c>
      <c r="H107" s="15">
        <v>2.0</v>
      </c>
      <c r="I107" s="15">
        <v>3.0</v>
      </c>
      <c r="J107" s="15">
        <v>3.0</v>
      </c>
      <c r="K107" s="15">
        <v>2.0</v>
      </c>
      <c r="L107" s="15">
        <v>3.0</v>
      </c>
      <c r="M107" s="15">
        <v>2.0</v>
      </c>
      <c r="N107" s="15">
        <v>2.0</v>
      </c>
      <c r="O107" s="15">
        <v>2.0</v>
      </c>
      <c r="P107" s="15">
        <v>2.0</v>
      </c>
      <c r="Q107" s="15" t="s">
        <v>64</v>
      </c>
      <c r="R107" s="15" t="s">
        <v>55</v>
      </c>
      <c r="S107" s="15" t="s">
        <v>86</v>
      </c>
      <c r="T107" s="22">
        <v>1.0</v>
      </c>
      <c r="U107" s="20">
        <f>+1</f>
        <v>1</v>
      </c>
      <c r="V107" s="21" t="s">
        <v>72</v>
      </c>
      <c r="X107" s="15" t="s">
        <v>73</v>
      </c>
      <c r="Y107" s="15" t="s">
        <v>53</v>
      </c>
      <c r="Z107" s="15">
        <v>3.0</v>
      </c>
      <c r="AA107" s="15">
        <v>2.0</v>
      </c>
      <c r="AB107" s="15">
        <v>2.0</v>
      </c>
      <c r="AC107" s="15">
        <v>3.0</v>
      </c>
      <c r="AD107" s="15">
        <v>3.0</v>
      </c>
      <c r="AE107" s="15">
        <v>2.0</v>
      </c>
      <c r="AF107" s="15">
        <v>3.0</v>
      </c>
      <c r="AG107" s="15">
        <v>2.0</v>
      </c>
      <c r="AH107" s="15">
        <v>2.0</v>
      </c>
      <c r="AI107" s="15">
        <v>2.0</v>
      </c>
      <c r="AJ107" s="15">
        <v>2.0</v>
      </c>
      <c r="AN107" s="15">
        <v>1.0</v>
      </c>
      <c r="AO107" s="19" t="s">
        <v>72</v>
      </c>
      <c r="AP107" s="15">
        <v>21.0</v>
      </c>
      <c r="AQ107" s="15" t="s">
        <v>67</v>
      </c>
      <c r="AR107" s="15" t="s">
        <v>60</v>
      </c>
      <c r="AS107" s="15" t="s">
        <v>61</v>
      </c>
      <c r="AT107" s="15" t="s">
        <v>62</v>
      </c>
      <c r="AU107" s="15" t="s">
        <v>242</v>
      </c>
    </row>
    <row r="108">
      <c r="A108" s="14">
        <v>45068.7268234375</v>
      </c>
      <c r="B108" s="15" t="s">
        <v>53</v>
      </c>
      <c r="C108" s="15" t="s">
        <v>53</v>
      </c>
      <c r="D108" s="15" t="s">
        <v>104</v>
      </c>
      <c r="E108" s="15" t="s">
        <v>53</v>
      </c>
      <c r="F108" s="15">
        <v>3.0</v>
      </c>
      <c r="G108" s="15">
        <v>4.0</v>
      </c>
      <c r="H108" s="15">
        <v>4.0</v>
      </c>
      <c r="I108" s="15">
        <v>4.0</v>
      </c>
      <c r="J108" s="15">
        <v>3.0</v>
      </c>
      <c r="K108" s="15">
        <v>4.0</v>
      </c>
      <c r="L108" s="15">
        <v>2.0</v>
      </c>
      <c r="M108" s="15">
        <v>4.0</v>
      </c>
      <c r="N108" s="15">
        <v>4.0</v>
      </c>
      <c r="O108" s="15">
        <v>4.0</v>
      </c>
      <c r="P108" s="15">
        <v>4.0</v>
      </c>
      <c r="Q108" s="15" t="s">
        <v>55</v>
      </c>
      <c r="R108" s="15" t="s">
        <v>56</v>
      </c>
      <c r="S108" s="15" t="s">
        <v>64</v>
      </c>
      <c r="T108" s="22">
        <v>4.0</v>
      </c>
      <c r="U108" s="20">
        <f>+4</f>
        <v>4</v>
      </c>
      <c r="V108" s="21" t="s">
        <v>85</v>
      </c>
      <c r="X108" s="15" t="s">
        <v>77</v>
      </c>
      <c r="Y108" s="15" t="s">
        <v>53</v>
      </c>
      <c r="Z108" s="15">
        <v>3.0</v>
      </c>
      <c r="AA108" s="15">
        <v>4.0</v>
      </c>
      <c r="AB108" s="15">
        <v>4.0</v>
      </c>
      <c r="AC108" s="15">
        <v>4.0</v>
      </c>
      <c r="AD108" s="15">
        <v>3.0</v>
      </c>
      <c r="AE108" s="15">
        <v>4.0</v>
      </c>
      <c r="AF108" s="15">
        <v>2.0</v>
      </c>
      <c r="AG108" s="15">
        <v>4.0</v>
      </c>
      <c r="AH108" s="15">
        <v>4.0</v>
      </c>
      <c r="AI108" s="15">
        <v>4.0</v>
      </c>
      <c r="AJ108" s="15">
        <v>4.0</v>
      </c>
      <c r="AN108" s="15">
        <v>4.0</v>
      </c>
      <c r="AO108" s="19" t="s">
        <v>85</v>
      </c>
      <c r="AP108" s="15">
        <v>22.0</v>
      </c>
      <c r="AQ108" s="15" t="s">
        <v>67</v>
      </c>
      <c r="AR108" s="15" t="s">
        <v>60</v>
      </c>
      <c r="AS108" s="15" t="s">
        <v>61</v>
      </c>
      <c r="AT108" s="15" t="s">
        <v>78</v>
      </c>
      <c r="AU108" s="15" t="s">
        <v>243</v>
      </c>
    </row>
    <row r="109">
      <c r="A109" s="14">
        <v>45068.727045810185</v>
      </c>
      <c r="B109" s="15" t="s">
        <v>53</v>
      </c>
      <c r="C109" s="15" t="s">
        <v>53</v>
      </c>
      <c r="D109" s="15" t="s">
        <v>54</v>
      </c>
      <c r="E109" s="15" t="s">
        <v>53</v>
      </c>
      <c r="F109" s="15">
        <v>3.0</v>
      </c>
      <c r="G109" s="15">
        <v>3.0</v>
      </c>
      <c r="H109" s="15">
        <v>3.0</v>
      </c>
      <c r="I109" s="15">
        <v>4.0</v>
      </c>
      <c r="J109" s="15">
        <v>3.0</v>
      </c>
      <c r="K109" s="15">
        <v>5.0</v>
      </c>
      <c r="L109" s="15">
        <v>1.0</v>
      </c>
      <c r="M109" s="15">
        <v>5.0</v>
      </c>
      <c r="N109" s="15">
        <v>5.0</v>
      </c>
      <c r="O109" s="15">
        <v>5.0</v>
      </c>
      <c r="P109" s="15">
        <v>5.0</v>
      </c>
      <c r="Q109" s="15" t="s">
        <v>55</v>
      </c>
      <c r="R109" s="15" t="s">
        <v>83</v>
      </c>
      <c r="S109" s="15" t="s">
        <v>92</v>
      </c>
      <c r="T109" s="22">
        <v>4.0</v>
      </c>
      <c r="U109" s="20">
        <f>+3</f>
        <v>3</v>
      </c>
      <c r="V109" s="21" t="s">
        <v>54</v>
      </c>
      <c r="X109" s="15" t="s">
        <v>77</v>
      </c>
      <c r="Y109" s="15" t="s">
        <v>53</v>
      </c>
      <c r="Z109" s="15">
        <v>3.0</v>
      </c>
      <c r="AA109" s="15">
        <v>3.0</v>
      </c>
      <c r="AB109" s="15">
        <v>3.0</v>
      </c>
      <c r="AC109" s="15">
        <v>4.0</v>
      </c>
      <c r="AD109" s="15">
        <v>3.0</v>
      </c>
      <c r="AE109" s="15">
        <v>5.0</v>
      </c>
      <c r="AF109" s="15">
        <v>1.0</v>
      </c>
      <c r="AG109" s="15">
        <v>5.0</v>
      </c>
      <c r="AH109" s="15">
        <v>5.0</v>
      </c>
      <c r="AI109" s="15">
        <v>5.0</v>
      </c>
      <c r="AJ109" s="15">
        <v>5.0</v>
      </c>
      <c r="AN109" s="15">
        <v>4.0</v>
      </c>
      <c r="AO109" s="19" t="s">
        <v>54</v>
      </c>
      <c r="AP109" s="15">
        <v>20.0</v>
      </c>
      <c r="AQ109" s="15" t="s">
        <v>67</v>
      </c>
      <c r="AR109" s="15" t="s">
        <v>60</v>
      </c>
      <c r="AS109" s="15" t="s">
        <v>61</v>
      </c>
      <c r="AT109" s="15" t="s">
        <v>78</v>
      </c>
      <c r="AU109" s="15" t="s">
        <v>244</v>
      </c>
    </row>
    <row r="110">
      <c r="A110" s="14">
        <v>45068.727360624995</v>
      </c>
      <c r="B110" s="15" t="s">
        <v>53</v>
      </c>
      <c r="C110" s="15" t="s">
        <v>53</v>
      </c>
      <c r="D110" s="15" t="s">
        <v>72</v>
      </c>
      <c r="E110" s="15" t="s">
        <v>53</v>
      </c>
      <c r="F110" s="15">
        <v>4.0</v>
      </c>
      <c r="G110" s="15">
        <v>2.0</v>
      </c>
      <c r="H110" s="15">
        <v>2.0</v>
      </c>
      <c r="I110" s="15">
        <v>4.0</v>
      </c>
      <c r="J110" s="15">
        <v>4.0</v>
      </c>
      <c r="K110" s="15">
        <v>2.0</v>
      </c>
      <c r="L110" s="15">
        <v>4.0</v>
      </c>
      <c r="M110" s="15">
        <v>2.0</v>
      </c>
      <c r="N110" s="15">
        <v>2.0</v>
      </c>
      <c r="O110" s="15">
        <v>2.0</v>
      </c>
      <c r="P110" s="15">
        <v>2.0</v>
      </c>
      <c r="Q110" s="15" t="s">
        <v>55</v>
      </c>
      <c r="R110" s="15" t="s">
        <v>56</v>
      </c>
      <c r="S110" s="15" t="s">
        <v>64</v>
      </c>
      <c r="T110" s="22">
        <v>4.0</v>
      </c>
      <c r="U110" s="20">
        <f t="shared" ref="U110:U111" si="5">+2</f>
        <v>2</v>
      </c>
      <c r="V110" s="21" t="s">
        <v>65</v>
      </c>
      <c r="X110" s="15" t="s">
        <v>77</v>
      </c>
      <c r="Y110" s="15" t="s">
        <v>53</v>
      </c>
      <c r="Z110" s="15">
        <v>4.0</v>
      </c>
      <c r="AA110" s="15">
        <v>2.0</v>
      </c>
      <c r="AB110" s="15">
        <v>2.0</v>
      </c>
      <c r="AC110" s="15">
        <v>4.0</v>
      </c>
      <c r="AD110" s="15">
        <v>4.0</v>
      </c>
      <c r="AE110" s="15">
        <v>2.0</v>
      </c>
      <c r="AF110" s="15">
        <v>4.0</v>
      </c>
      <c r="AG110" s="15">
        <v>2.0</v>
      </c>
      <c r="AH110" s="15">
        <v>2.0</v>
      </c>
      <c r="AI110" s="15">
        <v>2.0</v>
      </c>
      <c r="AJ110" s="15">
        <v>2.0</v>
      </c>
      <c r="AN110" s="15">
        <v>4.0</v>
      </c>
      <c r="AO110" s="19" t="s">
        <v>65</v>
      </c>
      <c r="AP110" s="15">
        <v>50.0</v>
      </c>
      <c r="AQ110" s="15" t="s">
        <v>67</v>
      </c>
      <c r="AR110" s="15" t="s">
        <v>60</v>
      </c>
      <c r="AS110" s="15" t="s">
        <v>140</v>
      </c>
      <c r="AT110" s="15" t="s">
        <v>105</v>
      </c>
      <c r="AU110" s="15" t="s">
        <v>245</v>
      </c>
    </row>
    <row r="111">
      <c r="A111" s="14">
        <v>45068.73766653935</v>
      </c>
      <c r="B111" s="15" t="s">
        <v>53</v>
      </c>
      <c r="C111" s="15" t="s">
        <v>53</v>
      </c>
      <c r="D111" s="15">
        <v>-4.0</v>
      </c>
      <c r="E111" s="15" t="s">
        <v>53</v>
      </c>
      <c r="F111" s="15">
        <v>3.0</v>
      </c>
      <c r="G111" s="15">
        <v>3.0</v>
      </c>
      <c r="H111" s="15">
        <v>1.0</v>
      </c>
      <c r="I111" s="15">
        <v>3.0</v>
      </c>
      <c r="J111" s="15">
        <v>2.0</v>
      </c>
      <c r="K111" s="15">
        <v>4.0</v>
      </c>
      <c r="L111" s="15">
        <v>2.0</v>
      </c>
      <c r="M111" s="15">
        <v>3.0</v>
      </c>
      <c r="N111" s="15">
        <v>2.0</v>
      </c>
      <c r="O111" s="15">
        <v>2.0</v>
      </c>
      <c r="P111" s="15">
        <v>2.0</v>
      </c>
      <c r="Q111" s="15" t="s">
        <v>55</v>
      </c>
      <c r="R111" s="15" t="s">
        <v>56</v>
      </c>
      <c r="S111" s="15" t="s">
        <v>86</v>
      </c>
      <c r="T111" s="23">
        <v>3.0</v>
      </c>
      <c r="U111" s="24">
        <f t="shared" si="5"/>
        <v>2</v>
      </c>
      <c r="V111" s="21"/>
      <c r="X111" s="15" t="s">
        <v>77</v>
      </c>
      <c r="AO111" s="26"/>
      <c r="AP111" s="15">
        <v>21.0</v>
      </c>
      <c r="AQ111" s="15" t="s">
        <v>59</v>
      </c>
      <c r="AR111" s="15" t="s">
        <v>120</v>
      </c>
      <c r="AS111" s="15" t="s">
        <v>61</v>
      </c>
      <c r="AT111" s="15" t="s">
        <v>125</v>
      </c>
      <c r="AU111" s="15" t="s">
        <v>246</v>
      </c>
    </row>
    <row r="112">
      <c r="A112" s="14">
        <v>45068.7386833912</v>
      </c>
      <c r="B112" s="15" t="s">
        <v>53</v>
      </c>
      <c r="C112" s="15" t="s">
        <v>53</v>
      </c>
      <c r="D112" s="15" t="s">
        <v>72</v>
      </c>
      <c r="E112" s="15" t="s">
        <v>53</v>
      </c>
      <c r="F112" s="15">
        <v>4.0</v>
      </c>
      <c r="G112" s="15">
        <v>2.0</v>
      </c>
      <c r="H112" s="15">
        <v>2.0</v>
      </c>
      <c r="I112" s="15">
        <v>4.0</v>
      </c>
      <c r="J112" s="15">
        <v>4.0</v>
      </c>
      <c r="K112" s="15">
        <v>5.0</v>
      </c>
      <c r="L112" s="15">
        <v>1.0</v>
      </c>
      <c r="M112" s="15">
        <v>4.0</v>
      </c>
      <c r="N112" s="15">
        <v>4.0</v>
      </c>
      <c r="O112" s="15">
        <v>4.0</v>
      </c>
      <c r="P112" s="15">
        <v>4.0</v>
      </c>
      <c r="Q112" s="15" t="s">
        <v>55</v>
      </c>
      <c r="R112" s="15" t="s">
        <v>56</v>
      </c>
      <c r="S112" s="15" t="s">
        <v>64</v>
      </c>
      <c r="T112" s="22">
        <v>2.0</v>
      </c>
      <c r="U112" s="17">
        <v>-1.0</v>
      </c>
      <c r="V112" s="18">
        <v>-1.0</v>
      </c>
      <c r="W112" s="15" t="s">
        <v>66</v>
      </c>
      <c r="Y112" s="15" t="s">
        <v>53</v>
      </c>
      <c r="Z112" s="15">
        <v>4.0</v>
      </c>
      <c r="AA112" s="15">
        <v>2.0</v>
      </c>
      <c r="AB112" s="15">
        <v>2.0</v>
      </c>
      <c r="AC112" s="15">
        <v>4.0</v>
      </c>
      <c r="AD112" s="15">
        <v>4.0</v>
      </c>
      <c r="AE112" s="15">
        <v>5.0</v>
      </c>
      <c r="AF112" s="15">
        <v>1.0</v>
      </c>
      <c r="AG112" s="15">
        <v>4.0</v>
      </c>
      <c r="AH112" s="15">
        <v>4.0</v>
      </c>
      <c r="AI112" s="15">
        <v>4.0</v>
      </c>
      <c r="AJ112" s="15">
        <v>4.0</v>
      </c>
      <c r="AN112" s="15">
        <v>2.0</v>
      </c>
      <c r="AO112" s="19">
        <v>-1.0</v>
      </c>
      <c r="AP112" s="15">
        <v>20.0</v>
      </c>
      <c r="AQ112" s="15" t="s">
        <v>247</v>
      </c>
      <c r="AR112" s="15" t="s">
        <v>154</v>
      </c>
      <c r="AS112" s="15" t="s">
        <v>61</v>
      </c>
      <c r="AT112" s="15" t="s">
        <v>69</v>
      </c>
      <c r="AU112" s="15" t="s">
        <v>248</v>
      </c>
      <c r="AV112" s="15" t="s">
        <v>249</v>
      </c>
    </row>
    <row r="113">
      <c r="A113" s="14">
        <v>45068.74219341435</v>
      </c>
      <c r="B113" s="15" t="s">
        <v>53</v>
      </c>
      <c r="C113" s="15" t="s">
        <v>53</v>
      </c>
      <c r="D113" s="15" t="s">
        <v>65</v>
      </c>
      <c r="E113" s="15" t="s">
        <v>53</v>
      </c>
      <c r="F113" s="15">
        <v>4.0</v>
      </c>
      <c r="G113" s="15">
        <v>2.0</v>
      </c>
      <c r="H113" s="15">
        <v>2.0</v>
      </c>
      <c r="I113" s="15">
        <v>4.0</v>
      </c>
      <c r="J113" s="15">
        <v>3.0</v>
      </c>
      <c r="K113" s="15">
        <v>5.0</v>
      </c>
      <c r="L113" s="15">
        <v>2.0</v>
      </c>
      <c r="M113" s="15">
        <v>4.0</v>
      </c>
      <c r="N113" s="15">
        <v>4.0</v>
      </c>
      <c r="O113" s="15">
        <v>4.0</v>
      </c>
      <c r="P113" s="15">
        <v>4.0</v>
      </c>
      <c r="Q113" s="15" t="s">
        <v>55</v>
      </c>
      <c r="R113" s="15" t="s">
        <v>64</v>
      </c>
      <c r="S113" s="15" t="s">
        <v>83</v>
      </c>
      <c r="T113" s="22">
        <v>4.0</v>
      </c>
      <c r="U113" s="20">
        <f>+1</f>
        <v>1</v>
      </c>
      <c r="V113" s="21" t="s">
        <v>72</v>
      </c>
      <c r="X113" s="15" t="s">
        <v>66</v>
      </c>
      <c r="Y113" s="15" t="s">
        <v>53</v>
      </c>
      <c r="Z113" s="15">
        <v>4.0</v>
      </c>
      <c r="AA113" s="15">
        <v>2.0</v>
      </c>
      <c r="AB113" s="15">
        <v>2.0</v>
      </c>
      <c r="AC113" s="15">
        <v>4.0</v>
      </c>
      <c r="AD113" s="15">
        <v>3.0</v>
      </c>
      <c r="AE113" s="15">
        <v>5.0</v>
      </c>
      <c r="AF113" s="15">
        <v>2.0</v>
      </c>
      <c r="AG113" s="15">
        <v>4.0</v>
      </c>
      <c r="AH113" s="15">
        <v>4.0</v>
      </c>
      <c r="AI113" s="15">
        <v>4.0</v>
      </c>
      <c r="AJ113" s="15">
        <v>4.0</v>
      </c>
      <c r="AN113" s="15">
        <v>4.0</v>
      </c>
      <c r="AO113" s="19" t="s">
        <v>72</v>
      </c>
      <c r="AP113" s="15">
        <v>27.0</v>
      </c>
      <c r="AQ113" s="15" t="s">
        <v>59</v>
      </c>
      <c r="AR113" s="15" t="s">
        <v>60</v>
      </c>
      <c r="AS113" s="15" t="s">
        <v>61</v>
      </c>
      <c r="AT113" s="15" t="s">
        <v>105</v>
      </c>
      <c r="AU113" s="15" t="s">
        <v>250</v>
      </c>
      <c r="AV113" s="15" t="s">
        <v>251</v>
      </c>
    </row>
    <row r="114">
      <c r="A114" s="14">
        <v>45068.7500830787</v>
      </c>
      <c r="B114" s="15" t="s">
        <v>53</v>
      </c>
      <c r="C114" s="15" t="s">
        <v>53</v>
      </c>
      <c r="D114" s="15">
        <v>-4.0</v>
      </c>
      <c r="E114" s="15" t="s">
        <v>53</v>
      </c>
      <c r="F114" s="15">
        <v>4.0</v>
      </c>
      <c r="G114" s="15">
        <v>2.0</v>
      </c>
      <c r="H114" s="15">
        <v>1.0</v>
      </c>
      <c r="I114" s="15">
        <v>4.0</v>
      </c>
      <c r="J114" s="15">
        <v>2.0</v>
      </c>
      <c r="K114" s="15">
        <v>4.0</v>
      </c>
      <c r="L114" s="15">
        <v>2.0</v>
      </c>
      <c r="M114" s="15">
        <v>3.0</v>
      </c>
      <c r="N114" s="15">
        <v>2.0</v>
      </c>
      <c r="O114" s="15">
        <v>3.0</v>
      </c>
      <c r="P114" s="15">
        <v>3.0</v>
      </c>
      <c r="Q114" s="15" t="s">
        <v>55</v>
      </c>
      <c r="R114" s="15" t="s">
        <v>64</v>
      </c>
      <c r="S114" s="15" t="s">
        <v>83</v>
      </c>
      <c r="T114" s="23">
        <v>4.0</v>
      </c>
      <c r="U114" s="24">
        <f>+2</f>
        <v>2</v>
      </c>
      <c r="V114" s="21"/>
      <c r="X114" s="15" t="s">
        <v>66</v>
      </c>
      <c r="AO114" s="26"/>
      <c r="AP114" s="15">
        <v>22.0</v>
      </c>
      <c r="AQ114" s="15" t="s">
        <v>67</v>
      </c>
      <c r="AR114" s="15" t="s">
        <v>98</v>
      </c>
      <c r="AS114" s="15" t="s">
        <v>61</v>
      </c>
      <c r="AT114" s="15" t="s">
        <v>69</v>
      </c>
      <c r="AU114" s="15" t="s">
        <v>252</v>
      </c>
      <c r="AV114" s="15" t="s">
        <v>129</v>
      </c>
    </row>
    <row r="115">
      <c r="A115" s="14">
        <v>45068.752462557866</v>
      </c>
      <c r="B115" s="15" t="s">
        <v>53</v>
      </c>
      <c r="C115" s="15" t="s">
        <v>53</v>
      </c>
      <c r="D115" s="15">
        <v>-3.0</v>
      </c>
      <c r="E115" s="15" t="s">
        <v>53</v>
      </c>
      <c r="F115" s="15">
        <v>3.0</v>
      </c>
      <c r="G115" s="15">
        <v>2.0</v>
      </c>
      <c r="H115" s="15">
        <v>3.0</v>
      </c>
      <c r="I115" s="15">
        <v>4.0</v>
      </c>
      <c r="J115" s="15">
        <v>2.0</v>
      </c>
      <c r="K115" s="15">
        <v>2.0</v>
      </c>
      <c r="L115" s="15">
        <v>2.0</v>
      </c>
      <c r="M115" s="15">
        <v>3.0</v>
      </c>
      <c r="N115" s="15">
        <v>3.0</v>
      </c>
      <c r="O115" s="15">
        <v>3.0</v>
      </c>
      <c r="P115" s="15">
        <v>2.0</v>
      </c>
      <c r="Q115" s="15" t="s">
        <v>55</v>
      </c>
      <c r="R115" s="15" t="s">
        <v>57</v>
      </c>
      <c r="S115" s="15" t="s">
        <v>64</v>
      </c>
      <c r="T115" s="23">
        <v>4.0</v>
      </c>
      <c r="U115" s="24">
        <v>-1.0</v>
      </c>
      <c r="V115" s="25"/>
      <c r="W115" s="15" t="s">
        <v>58</v>
      </c>
      <c r="AO115" s="26"/>
      <c r="AP115" s="15">
        <v>21.0</v>
      </c>
      <c r="AQ115" s="15" t="s">
        <v>67</v>
      </c>
      <c r="AR115" s="15" t="s">
        <v>60</v>
      </c>
      <c r="AS115" s="15" t="s">
        <v>61</v>
      </c>
      <c r="AT115" s="15" t="s">
        <v>99</v>
      </c>
      <c r="AU115" s="15" t="s">
        <v>253</v>
      </c>
    </row>
    <row r="116">
      <c r="A116" s="14">
        <v>45068.75809930556</v>
      </c>
      <c r="B116" s="15" t="s">
        <v>53</v>
      </c>
      <c r="C116" s="15" t="s">
        <v>53</v>
      </c>
      <c r="D116" s="15" t="s">
        <v>85</v>
      </c>
      <c r="E116" s="15" t="s">
        <v>53</v>
      </c>
      <c r="F116" s="15">
        <v>3.0</v>
      </c>
      <c r="G116" s="15">
        <v>3.0</v>
      </c>
      <c r="H116" s="15">
        <v>2.0</v>
      </c>
      <c r="I116" s="15">
        <v>3.0</v>
      </c>
      <c r="J116" s="15">
        <v>2.0</v>
      </c>
      <c r="K116" s="15">
        <v>3.0</v>
      </c>
      <c r="L116" s="15">
        <v>3.0</v>
      </c>
      <c r="M116" s="15">
        <v>3.0</v>
      </c>
      <c r="N116" s="15">
        <v>4.0</v>
      </c>
      <c r="O116" s="15">
        <v>3.0</v>
      </c>
      <c r="P116" s="15">
        <v>3.0</v>
      </c>
      <c r="Q116" s="15" t="s">
        <v>64</v>
      </c>
      <c r="R116" s="15" t="s">
        <v>55</v>
      </c>
      <c r="S116" s="15" t="s">
        <v>56</v>
      </c>
      <c r="T116" s="22">
        <v>4.0</v>
      </c>
      <c r="U116" s="20">
        <f>+3</f>
        <v>3</v>
      </c>
      <c r="V116" s="21" t="s">
        <v>54</v>
      </c>
      <c r="X116" s="15" t="s">
        <v>108</v>
      </c>
      <c r="Y116" s="15" t="s">
        <v>53</v>
      </c>
      <c r="Z116" s="15">
        <v>3.0</v>
      </c>
      <c r="AA116" s="15">
        <v>3.0</v>
      </c>
      <c r="AB116" s="15">
        <v>2.0</v>
      </c>
      <c r="AC116" s="15">
        <v>3.0</v>
      </c>
      <c r="AD116" s="15">
        <v>2.0</v>
      </c>
      <c r="AE116" s="15">
        <v>3.0</v>
      </c>
      <c r="AF116" s="15">
        <v>3.0</v>
      </c>
      <c r="AG116" s="15">
        <v>3.0</v>
      </c>
      <c r="AH116" s="15">
        <v>4.0</v>
      </c>
      <c r="AI116" s="15">
        <v>3.0</v>
      </c>
      <c r="AJ116" s="15">
        <v>3.0</v>
      </c>
      <c r="AN116" s="15">
        <v>4.0</v>
      </c>
      <c r="AO116" s="19" t="s">
        <v>54</v>
      </c>
      <c r="AP116" s="15">
        <v>30.0</v>
      </c>
      <c r="AQ116" s="15" t="s">
        <v>67</v>
      </c>
      <c r="AR116" s="15" t="s">
        <v>254</v>
      </c>
      <c r="AS116" s="15" t="s">
        <v>109</v>
      </c>
      <c r="AT116" s="15" t="s">
        <v>255</v>
      </c>
      <c r="AU116" s="15" t="s">
        <v>256</v>
      </c>
      <c r="AV116" s="15" t="s">
        <v>257</v>
      </c>
    </row>
    <row r="117">
      <c r="A117" s="14">
        <v>45068.761967314815</v>
      </c>
      <c r="B117" s="15" t="s">
        <v>53</v>
      </c>
      <c r="C117" s="15" t="s">
        <v>53</v>
      </c>
      <c r="D117" s="15" t="s">
        <v>72</v>
      </c>
      <c r="E117" s="15" t="s">
        <v>53</v>
      </c>
      <c r="F117" s="15">
        <v>3.0</v>
      </c>
      <c r="G117" s="15">
        <v>2.0</v>
      </c>
      <c r="H117" s="15">
        <v>2.0</v>
      </c>
      <c r="I117" s="15">
        <v>4.0</v>
      </c>
      <c r="J117" s="15">
        <v>3.0</v>
      </c>
      <c r="K117" s="15">
        <v>2.0</v>
      </c>
      <c r="L117" s="15">
        <v>3.0</v>
      </c>
      <c r="M117" s="15">
        <v>3.0</v>
      </c>
      <c r="N117" s="15">
        <v>2.0</v>
      </c>
      <c r="O117" s="15">
        <v>2.0</v>
      </c>
      <c r="P117" s="15">
        <v>2.0</v>
      </c>
      <c r="Q117" s="15" t="s">
        <v>57</v>
      </c>
      <c r="R117" s="15" t="s">
        <v>86</v>
      </c>
      <c r="S117" s="15" t="s">
        <v>55</v>
      </c>
      <c r="T117" s="22">
        <v>4.0</v>
      </c>
      <c r="U117" s="20">
        <f t="shared" ref="U117:U118" si="6">+1</f>
        <v>1</v>
      </c>
      <c r="V117" s="21" t="s">
        <v>72</v>
      </c>
      <c r="X117" s="15" t="s">
        <v>116</v>
      </c>
      <c r="Y117" s="15" t="s">
        <v>53</v>
      </c>
      <c r="Z117" s="15">
        <v>3.0</v>
      </c>
      <c r="AA117" s="15">
        <v>2.0</v>
      </c>
      <c r="AB117" s="15">
        <v>2.0</v>
      </c>
      <c r="AC117" s="15">
        <v>4.0</v>
      </c>
      <c r="AD117" s="15">
        <v>3.0</v>
      </c>
      <c r="AE117" s="15">
        <v>2.0</v>
      </c>
      <c r="AF117" s="15">
        <v>3.0</v>
      </c>
      <c r="AG117" s="15">
        <v>3.0</v>
      </c>
      <c r="AH117" s="15">
        <v>2.0</v>
      </c>
      <c r="AI117" s="15">
        <v>2.0</v>
      </c>
      <c r="AJ117" s="15">
        <v>2.0</v>
      </c>
      <c r="AN117" s="15">
        <v>4.0</v>
      </c>
      <c r="AO117" s="19" t="s">
        <v>72</v>
      </c>
      <c r="AP117" s="15">
        <v>19.0</v>
      </c>
      <c r="AQ117" s="15" t="s">
        <v>67</v>
      </c>
      <c r="AR117" s="15" t="s">
        <v>98</v>
      </c>
      <c r="AS117" s="15" t="s">
        <v>109</v>
      </c>
      <c r="AT117" s="15" t="s">
        <v>138</v>
      </c>
      <c r="AU117" s="15" t="s">
        <v>258</v>
      </c>
    </row>
    <row r="118">
      <c r="A118" s="14">
        <v>45068.764275243055</v>
      </c>
      <c r="B118" s="15" t="s">
        <v>53</v>
      </c>
      <c r="C118" s="15" t="s">
        <v>53</v>
      </c>
      <c r="D118" s="15">
        <v>-1.0</v>
      </c>
      <c r="E118" s="15" t="s">
        <v>53</v>
      </c>
      <c r="F118" s="15">
        <v>4.0</v>
      </c>
      <c r="G118" s="15">
        <v>5.0</v>
      </c>
      <c r="H118" s="15">
        <v>3.0</v>
      </c>
      <c r="I118" s="15">
        <v>3.0</v>
      </c>
      <c r="J118" s="15">
        <v>3.0</v>
      </c>
      <c r="K118" s="15">
        <v>3.0</v>
      </c>
      <c r="L118" s="15">
        <v>3.0</v>
      </c>
      <c r="M118" s="15">
        <v>3.0</v>
      </c>
      <c r="N118" s="15">
        <v>3.0</v>
      </c>
      <c r="O118" s="15">
        <v>3.0</v>
      </c>
      <c r="P118" s="15">
        <v>3.0</v>
      </c>
      <c r="Q118" s="15" t="s">
        <v>92</v>
      </c>
      <c r="R118" s="15" t="s">
        <v>86</v>
      </c>
      <c r="S118" s="15" t="s">
        <v>107</v>
      </c>
      <c r="T118" s="23">
        <v>3.0</v>
      </c>
      <c r="U118" s="24">
        <f t="shared" si="6"/>
        <v>1</v>
      </c>
      <c r="V118" s="21"/>
      <c r="X118" s="15" t="s">
        <v>108</v>
      </c>
      <c r="AO118" s="26"/>
      <c r="AP118" s="15">
        <v>24.0</v>
      </c>
      <c r="AQ118" s="15" t="s">
        <v>59</v>
      </c>
      <c r="AR118" s="15" t="s">
        <v>259</v>
      </c>
      <c r="AS118" s="15" t="s">
        <v>109</v>
      </c>
      <c r="AT118" s="15" t="s">
        <v>260</v>
      </c>
      <c r="AU118" s="15" t="s">
        <v>261</v>
      </c>
      <c r="AV118" s="15" t="s">
        <v>257</v>
      </c>
    </row>
    <row r="119">
      <c r="A119" s="14">
        <v>45068.76642047454</v>
      </c>
      <c r="B119" s="15" t="s">
        <v>53</v>
      </c>
      <c r="C119" s="15" t="s">
        <v>53</v>
      </c>
      <c r="D119" s="15" t="s">
        <v>54</v>
      </c>
      <c r="E119" s="15" t="s">
        <v>53</v>
      </c>
      <c r="F119" s="15">
        <v>4.0</v>
      </c>
      <c r="G119" s="15">
        <v>2.0</v>
      </c>
      <c r="H119" s="15">
        <v>3.0</v>
      </c>
      <c r="I119" s="15">
        <v>4.0</v>
      </c>
      <c r="J119" s="15">
        <v>4.0</v>
      </c>
      <c r="K119" s="15">
        <v>4.0</v>
      </c>
      <c r="L119" s="15">
        <v>2.0</v>
      </c>
      <c r="M119" s="15">
        <v>2.0</v>
      </c>
      <c r="N119" s="15">
        <v>3.0</v>
      </c>
      <c r="O119" s="15">
        <v>3.0</v>
      </c>
      <c r="P119" s="15">
        <v>3.0</v>
      </c>
      <c r="Q119" s="15" t="s">
        <v>55</v>
      </c>
      <c r="R119" s="15" t="s">
        <v>57</v>
      </c>
      <c r="S119" s="15" t="s">
        <v>64</v>
      </c>
      <c r="T119" s="22">
        <v>5.0</v>
      </c>
      <c r="U119" s="20">
        <f>+2</f>
        <v>2</v>
      </c>
      <c r="V119" s="21" t="s">
        <v>65</v>
      </c>
      <c r="X119" s="15" t="s">
        <v>77</v>
      </c>
      <c r="Y119" s="15" t="s">
        <v>53</v>
      </c>
      <c r="Z119" s="15">
        <v>4.0</v>
      </c>
      <c r="AA119" s="15">
        <v>2.0</v>
      </c>
      <c r="AB119" s="15">
        <v>3.0</v>
      </c>
      <c r="AC119" s="15">
        <v>4.0</v>
      </c>
      <c r="AD119" s="15">
        <v>4.0</v>
      </c>
      <c r="AE119" s="15">
        <v>4.0</v>
      </c>
      <c r="AF119" s="15">
        <v>2.0</v>
      </c>
      <c r="AG119" s="15">
        <v>2.0</v>
      </c>
      <c r="AH119" s="15">
        <v>3.0</v>
      </c>
      <c r="AI119" s="15">
        <v>3.0</v>
      </c>
      <c r="AJ119" s="15">
        <v>3.0</v>
      </c>
      <c r="AN119" s="15">
        <v>5.0</v>
      </c>
      <c r="AO119" s="19" t="s">
        <v>65</v>
      </c>
      <c r="AP119" s="15">
        <v>27.0</v>
      </c>
      <c r="AQ119" s="15" t="s">
        <v>59</v>
      </c>
      <c r="AR119" s="15" t="s">
        <v>68</v>
      </c>
      <c r="AS119" s="15" t="s">
        <v>61</v>
      </c>
      <c r="AT119" s="15" t="s">
        <v>78</v>
      </c>
      <c r="AU119" s="15" t="s">
        <v>262</v>
      </c>
    </row>
    <row r="120">
      <c r="A120" s="14">
        <v>45068.76926090277</v>
      </c>
      <c r="B120" s="15" t="s">
        <v>53</v>
      </c>
      <c r="C120" s="15" t="s">
        <v>53</v>
      </c>
      <c r="D120" s="15" t="s">
        <v>72</v>
      </c>
      <c r="E120" s="15" t="s">
        <v>53</v>
      </c>
      <c r="F120" s="15">
        <v>2.0</v>
      </c>
      <c r="G120" s="15">
        <v>3.0</v>
      </c>
      <c r="H120" s="15">
        <v>4.0</v>
      </c>
      <c r="I120" s="15">
        <v>2.0</v>
      </c>
      <c r="J120" s="15">
        <v>1.0</v>
      </c>
      <c r="K120" s="15">
        <v>5.0</v>
      </c>
      <c r="L120" s="15">
        <v>1.0</v>
      </c>
      <c r="M120" s="15">
        <v>4.0</v>
      </c>
      <c r="N120" s="15">
        <v>4.0</v>
      </c>
      <c r="O120" s="15">
        <v>3.0</v>
      </c>
      <c r="P120" s="15">
        <v>3.0</v>
      </c>
      <c r="Q120" s="15" t="s">
        <v>64</v>
      </c>
      <c r="R120" s="15" t="s">
        <v>55</v>
      </c>
      <c r="S120" s="15" t="s">
        <v>56</v>
      </c>
      <c r="T120" s="22">
        <v>3.0</v>
      </c>
      <c r="U120" s="17">
        <v>-5.0</v>
      </c>
      <c r="V120" s="18">
        <v>-5.0</v>
      </c>
      <c r="W120" s="15" t="s">
        <v>80</v>
      </c>
      <c r="Y120" s="15" t="s">
        <v>53</v>
      </c>
      <c r="Z120" s="15">
        <v>2.0</v>
      </c>
      <c r="AA120" s="15">
        <v>3.0</v>
      </c>
      <c r="AB120" s="15">
        <v>4.0</v>
      </c>
      <c r="AC120" s="15">
        <v>2.0</v>
      </c>
      <c r="AD120" s="15">
        <v>1.0</v>
      </c>
      <c r="AE120" s="15">
        <v>5.0</v>
      </c>
      <c r="AF120" s="15">
        <v>1.0</v>
      </c>
      <c r="AG120" s="15">
        <v>4.0</v>
      </c>
      <c r="AH120" s="15">
        <v>4.0</v>
      </c>
      <c r="AI120" s="15">
        <v>3.0</v>
      </c>
      <c r="AJ120" s="15">
        <v>3.0</v>
      </c>
      <c r="AN120" s="15">
        <v>3.0</v>
      </c>
      <c r="AO120" s="19">
        <v>-5.0</v>
      </c>
      <c r="AP120" s="15">
        <v>28.0</v>
      </c>
      <c r="AQ120" s="15" t="s">
        <v>59</v>
      </c>
      <c r="AR120" s="15" t="s">
        <v>263</v>
      </c>
      <c r="AS120" s="15" t="s">
        <v>140</v>
      </c>
      <c r="AT120" s="15" t="s">
        <v>264</v>
      </c>
      <c r="AU120" s="15" t="s">
        <v>265</v>
      </c>
      <c r="AV120" s="15" t="s">
        <v>266</v>
      </c>
    </row>
    <row r="121">
      <c r="A121" s="14">
        <v>45068.770071018516</v>
      </c>
      <c r="B121" s="15" t="s">
        <v>53</v>
      </c>
      <c r="C121" s="15" t="s">
        <v>53</v>
      </c>
      <c r="D121" s="15">
        <v>-2.0</v>
      </c>
      <c r="E121" s="15" t="s">
        <v>53</v>
      </c>
      <c r="F121" s="15">
        <v>3.0</v>
      </c>
      <c r="G121" s="15">
        <v>2.0</v>
      </c>
      <c r="H121" s="15">
        <v>3.0</v>
      </c>
      <c r="I121" s="15">
        <v>4.0</v>
      </c>
      <c r="J121" s="15">
        <v>3.0</v>
      </c>
      <c r="K121" s="15">
        <v>5.0</v>
      </c>
      <c r="L121" s="15">
        <v>2.0</v>
      </c>
      <c r="M121" s="15">
        <v>3.0</v>
      </c>
      <c r="N121" s="15">
        <v>3.0</v>
      </c>
      <c r="O121" s="15">
        <v>3.0</v>
      </c>
      <c r="P121" s="15">
        <v>4.0</v>
      </c>
      <c r="Q121" s="15" t="s">
        <v>57</v>
      </c>
      <c r="R121" s="15" t="s">
        <v>64</v>
      </c>
      <c r="S121" s="15" t="s">
        <v>86</v>
      </c>
      <c r="T121" s="23">
        <v>5.0</v>
      </c>
      <c r="U121" s="24">
        <v>-2.0</v>
      </c>
      <c r="V121" s="25"/>
      <c r="W121" s="15" t="s">
        <v>80</v>
      </c>
      <c r="AO121" s="26"/>
      <c r="AP121" s="15">
        <v>26.0</v>
      </c>
      <c r="AQ121" s="15" t="s">
        <v>67</v>
      </c>
      <c r="AR121" s="15" t="s">
        <v>60</v>
      </c>
      <c r="AS121" s="15" t="s">
        <v>140</v>
      </c>
      <c r="AT121" s="15" t="s">
        <v>110</v>
      </c>
      <c r="AU121" s="15" t="s">
        <v>267</v>
      </c>
    </row>
    <row r="122">
      <c r="A122" s="14">
        <v>45068.772025625</v>
      </c>
      <c r="B122" s="15" t="s">
        <v>53</v>
      </c>
      <c r="C122" s="15" t="s">
        <v>53</v>
      </c>
      <c r="D122" s="15" t="s">
        <v>54</v>
      </c>
      <c r="E122" s="15" t="s">
        <v>53</v>
      </c>
      <c r="F122" s="15">
        <v>3.0</v>
      </c>
      <c r="G122" s="15">
        <v>3.0</v>
      </c>
      <c r="H122" s="15">
        <v>3.0</v>
      </c>
      <c r="I122" s="15">
        <v>3.0</v>
      </c>
      <c r="J122" s="15">
        <v>1.0</v>
      </c>
      <c r="K122" s="15">
        <v>4.0</v>
      </c>
      <c r="L122" s="15">
        <v>1.0</v>
      </c>
      <c r="M122" s="15">
        <v>3.0</v>
      </c>
      <c r="N122" s="15">
        <v>3.0</v>
      </c>
      <c r="O122" s="15">
        <v>3.0</v>
      </c>
      <c r="P122" s="15">
        <v>3.0</v>
      </c>
      <c r="Q122" s="15" t="s">
        <v>55</v>
      </c>
      <c r="R122" s="15" t="s">
        <v>64</v>
      </c>
      <c r="S122" s="15" t="s">
        <v>56</v>
      </c>
      <c r="T122" s="22">
        <v>1.0</v>
      </c>
      <c r="U122" s="20">
        <f t="shared" ref="U122:U123" si="7">+3</f>
        <v>3</v>
      </c>
      <c r="V122" s="21" t="s">
        <v>54</v>
      </c>
      <c r="X122" s="15" t="s">
        <v>66</v>
      </c>
      <c r="Y122" s="15" t="s">
        <v>53</v>
      </c>
      <c r="Z122" s="15">
        <v>3.0</v>
      </c>
      <c r="AA122" s="15">
        <v>3.0</v>
      </c>
      <c r="AB122" s="15">
        <v>3.0</v>
      </c>
      <c r="AC122" s="15">
        <v>3.0</v>
      </c>
      <c r="AD122" s="15">
        <v>1.0</v>
      </c>
      <c r="AE122" s="15">
        <v>4.0</v>
      </c>
      <c r="AF122" s="15">
        <v>1.0</v>
      </c>
      <c r="AG122" s="15">
        <v>3.0</v>
      </c>
      <c r="AH122" s="15">
        <v>3.0</v>
      </c>
      <c r="AI122" s="15">
        <v>3.0</v>
      </c>
      <c r="AJ122" s="15">
        <v>3.0</v>
      </c>
      <c r="AN122" s="15">
        <v>1.0</v>
      </c>
      <c r="AO122" s="19" t="s">
        <v>54</v>
      </c>
      <c r="AP122" s="15">
        <v>19.0</v>
      </c>
      <c r="AQ122" s="15" t="s">
        <v>59</v>
      </c>
      <c r="AR122" s="15" t="s">
        <v>268</v>
      </c>
      <c r="AS122" s="15" t="s">
        <v>109</v>
      </c>
      <c r="AT122" s="15" t="s">
        <v>269</v>
      </c>
      <c r="AU122" s="15" t="s">
        <v>270</v>
      </c>
    </row>
    <row r="123">
      <c r="A123" s="14">
        <v>45068.775684583336</v>
      </c>
      <c r="B123" s="15" t="s">
        <v>53</v>
      </c>
      <c r="C123" s="15" t="s">
        <v>53</v>
      </c>
      <c r="D123" s="15" t="s">
        <v>54</v>
      </c>
      <c r="E123" s="15" t="s">
        <v>53</v>
      </c>
      <c r="F123" s="15">
        <v>5.0</v>
      </c>
      <c r="G123" s="15">
        <v>1.0</v>
      </c>
      <c r="H123" s="15">
        <v>1.0</v>
      </c>
      <c r="I123" s="15">
        <v>5.0</v>
      </c>
      <c r="J123" s="15">
        <v>4.0</v>
      </c>
      <c r="K123" s="15">
        <v>3.0</v>
      </c>
      <c r="L123" s="15">
        <v>2.0</v>
      </c>
      <c r="M123" s="15">
        <v>3.0</v>
      </c>
      <c r="N123" s="15">
        <v>2.0</v>
      </c>
      <c r="O123" s="15">
        <v>2.0</v>
      </c>
      <c r="P123" s="15">
        <v>2.0</v>
      </c>
      <c r="Q123" s="15" t="s">
        <v>64</v>
      </c>
      <c r="R123" s="15" t="s">
        <v>56</v>
      </c>
      <c r="S123" s="15" t="s">
        <v>86</v>
      </c>
      <c r="T123" s="22">
        <v>2.0</v>
      </c>
      <c r="U123" s="20">
        <f t="shared" si="7"/>
        <v>3</v>
      </c>
      <c r="V123" s="21" t="s">
        <v>54</v>
      </c>
      <c r="X123" s="15" t="s">
        <v>271</v>
      </c>
      <c r="Y123" s="15" t="s">
        <v>53</v>
      </c>
      <c r="Z123" s="15">
        <v>5.0</v>
      </c>
      <c r="AA123" s="15">
        <v>1.0</v>
      </c>
      <c r="AB123" s="15">
        <v>1.0</v>
      </c>
      <c r="AC123" s="15">
        <v>5.0</v>
      </c>
      <c r="AD123" s="15">
        <v>4.0</v>
      </c>
      <c r="AE123" s="15">
        <v>3.0</v>
      </c>
      <c r="AF123" s="15">
        <v>2.0</v>
      </c>
      <c r="AG123" s="15">
        <v>3.0</v>
      </c>
      <c r="AH123" s="15">
        <v>2.0</v>
      </c>
      <c r="AI123" s="15">
        <v>2.0</v>
      </c>
      <c r="AJ123" s="15">
        <v>2.0</v>
      </c>
      <c r="AN123" s="15">
        <v>2.0</v>
      </c>
      <c r="AO123" s="19" t="s">
        <v>54</v>
      </c>
      <c r="AP123" s="15">
        <v>19.0</v>
      </c>
      <c r="AQ123" s="15" t="s">
        <v>59</v>
      </c>
      <c r="AR123" s="15" t="s">
        <v>272</v>
      </c>
      <c r="AS123" s="15" t="s">
        <v>109</v>
      </c>
      <c r="AT123" s="15" t="s">
        <v>160</v>
      </c>
      <c r="AU123" s="15" t="s">
        <v>273</v>
      </c>
      <c r="AV123" s="15" t="s">
        <v>274</v>
      </c>
    </row>
    <row r="124">
      <c r="A124" s="14">
        <v>45068.7797190625</v>
      </c>
      <c r="B124" s="15" t="s">
        <v>53</v>
      </c>
      <c r="C124" s="15" t="s">
        <v>53</v>
      </c>
      <c r="D124" s="15" t="s">
        <v>85</v>
      </c>
      <c r="E124" s="15" t="s">
        <v>53</v>
      </c>
      <c r="F124" s="15">
        <v>4.0</v>
      </c>
      <c r="G124" s="15">
        <v>5.0</v>
      </c>
      <c r="H124" s="15">
        <v>2.0</v>
      </c>
      <c r="I124" s="15">
        <v>4.0</v>
      </c>
      <c r="J124" s="15">
        <v>3.0</v>
      </c>
      <c r="K124" s="15">
        <v>4.0</v>
      </c>
      <c r="L124" s="15">
        <v>2.0</v>
      </c>
      <c r="M124" s="15">
        <v>4.0</v>
      </c>
      <c r="N124" s="15">
        <v>4.0</v>
      </c>
      <c r="O124" s="15">
        <v>4.0</v>
      </c>
      <c r="P124" s="15">
        <v>4.0</v>
      </c>
      <c r="Q124" s="15" t="s">
        <v>55</v>
      </c>
      <c r="R124" s="15" t="s">
        <v>56</v>
      </c>
      <c r="S124" s="15" t="s">
        <v>57</v>
      </c>
      <c r="T124" s="22">
        <v>4.0</v>
      </c>
      <c r="U124" s="20">
        <f>+2</f>
        <v>2</v>
      </c>
      <c r="V124" s="21" t="s">
        <v>65</v>
      </c>
      <c r="X124" s="15" t="s">
        <v>108</v>
      </c>
      <c r="Y124" s="15" t="s">
        <v>53</v>
      </c>
      <c r="Z124" s="15">
        <v>4.0</v>
      </c>
      <c r="AA124" s="15">
        <v>5.0</v>
      </c>
      <c r="AB124" s="15">
        <v>2.0</v>
      </c>
      <c r="AC124" s="15">
        <v>4.0</v>
      </c>
      <c r="AD124" s="15">
        <v>3.0</v>
      </c>
      <c r="AE124" s="15">
        <v>4.0</v>
      </c>
      <c r="AF124" s="15">
        <v>2.0</v>
      </c>
      <c r="AG124" s="15">
        <v>4.0</v>
      </c>
      <c r="AH124" s="15">
        <v>4.0</v>
      </c>
      <c r="AI124" s="15">
        <v>4.0</v>
      </c>
      <c r="AJ124" s="15">
        <v>4.0</v>
      </c>
      <c r="AN124" s="15">
        <v>4.0</v>
      </c>
      <c r="AO124" s="19" t="s">
        <v>65</v>
      </c>
      <c r="AP124" s="15">
        <v>24.0</v>
      </c>
      <c r="AQ124" s="15" t="s">
        <v>67</v>
      </c>
      <c r="AR124" s="15" t="s">
        <v>60</v>
      </c>
      <c r="AS124" s="15" t="s">
        <v>61</v>
      </c>
      <c r="AT124" s="15" t="s">
        <v>78</v>
      </c>
      <c r="AU124" s="15" t="s">
        <v>275</v>
      </c>
    </row>
    <row r="125">
      <c r="A125" s="14">
        <v>45068.77998875</v>
      </c>
      <c r="B125" s="15" t="s">
        <v>53</v>
      </c>
      <c r="C125" s="15" t="s">
        <v>53</v>
      </c>
      <c r="D125" s="15" t="s">
        <v>104</v>
      </c>
      <c r="E125" s="15" t="s">
        <v>53</v>
      </c>
      <c r="F125" s="15">
        <v>5.0</v>
      </c>
      <c r="G125" s="15">
        <v>1.0</v>
      </c>
      <c r="H125" s="15">
        <v>3.0</v>
      </c>
      <c r="I125" s="15">
        <v>3.0</v>
      </c>
      <c r="J125" s="15">
        <v>3.0</v>
      </c>
      <c r="K125" s="15">
        <v>3.0</v>
      </c>
      <c r="L125" s="15">
        <v>3.0</v>
      </c>
      <c r="M125" s="15">
        <v>3.0</v>
      </c>
      <c r="N125" s="15">
        <v>3.0</v>
      </c>
      <c r="O125" s="15">
        <v>3.0</v>
      </c>
      <c r="P125" s="15">
        <v>3.0</v>
      </c>
      <c r="Q125" s="15" t="s">
        <v>55</v>
      </c>
      <c r="R125" s="15" t="s">
        <v>64</v>
      </c>
      <c r="S125" s="15" t="s">
        <v>56</v>
      </c>
      <c r="T125" s="22">
        <v>4.0</v>
      </c>
      <c r="U125" s="20">
        <f>+3</f>
        <v>3</v>
      </c>
      <c r="V125" s="21" t="s">
        <v>54</v>
      </c>
      <c r="X125" s="15" t="s">
        <v>73</v>
      </c>
      <c r="Y125" s="15" t="s">
        <v>53</v>
      </c>
      <c r="Z125" s="15">
        <v>5.0</v>
      </c>
      <c r="AA125" s="15">
        <v>1.0</v>
      </c>
      <c r="AB125" s="15">
        <v>3.0</v>
      </c>
      <c r="AC125" s="15">
        <v>3.0</v>
      </c>
      <c r="AD125" s="15">
        <v>3.0</v>
      </c>
      <c r="AE125" s="15">
        <v>3.0</v>
      </c>
      <c r="AF125" s="15">
        <v>3.0</v>
      </c>
      <c r="AG125" s="15">
        <v>3.0</v>
      </c>
      <c r="AH125" s="15">
        <v>3.0</v>
      </c>
      <c r="AI125" s="15">
        <v>3.0</v>
      </c>
      <c r="AJ125" s="15">
        <v>3.0</v>
      </c>
      <c r="AN125" s="15">
        <v>4.0</v>
      </c>
      <c r="AO125" s="19" t="s">
        <v>54</v>
      </c>
      <c r="AP125" s="15">
        <v>23.0</v>
      </c>
      <c r="AQ125" s="15" t="s">
        <v>67</v>
      </c>
      <c r="AR125" s="15" t="s">
        <v>60</v>
      </c>
      <c r="AS125" s="15" t="s">
        <v>61</v>
      </c>
      <c r="AT125" s="15" t="s">
        <v>110</v>
      </c>
      <c r="AU125" s="15" t="s">
        <v>276</v>
      </c>
    </row>
    <row r="126">
      <c r="A126" s="14">
        <v>45068.780038530094</v>
      </c>
      <c r="B126" s="15" t="s">
        <v>53</v>
      </c>
      <c r="C126" s="15" t="s">
        <v>53</v>
      </c>
      <c r="D126" s="15" t="s">
        <v>65</v>
      </c>
      <c r="E126" s="15" t="s">
        <v>53</v>
      </c>
      <c r="F126" s="15">
        <v>3.0</v>
      </c>
      <c r="G126" s="15">
        <v>4.0</v>
      </c>
      <c r="H126" s="15">
        <v>4.0</v>
      </c>
      <c r="I126" s="15">
        <v>5.0</v>
      </c>
      <c r="J126" s="15">
        <v>2.0</v>
      </c>
      <c r="K126" s="15">
        <v>5.0</v>
      </c>
      <c r="L126" s="15">
        <v>1.0</v>
      </c>
      <c r="M126" s="15">
        <v>3.0</v>
      </c>
      <c r="N126" s="15">
        <v>4.0</v>
      </c>
      <c r="O126" s="15">
        <v>3.0</v>
      </c>
      <c r="P126" s="15">
        <v>3.0</v>
      </c>
      <c r="Q126" s="15" t="s">
        <v>64</v>
      </c>
      <c r="R126" s="15" t="s">
        <v>56</v>
      </c>
      <c r="S126" s="15" t="s">
        <v>57</v>
      </c>
      <c r="T126" s="22">
        <v>4.0</v>
      </c>
      <c r="U126" s="20">
        <f t="shared" ref="U126:U127" si="8">+1</f>
        <v>1</v>
      </c>
      <c r="V126" s="21" t="s">
        <v>72</v>
      </c>
      <c r="X126" s="15" t="s">
        <v>77</v>
      </c>
      <c r="Y126" s="15" t="s">
        <v>53</v>
      </c>
      <c r="Z126" s="15">
        <v>3.0</v>
      </c>
      <c r="AA126" s="15">
        <v>4.0</v>
      </c>
      <c r="AB126" s="15">
        <v>4.0</v>
      </c>
      <c r="AC126" s="15">
        <v>5.0</v>
      </c>
      <c r="AD126" s="15">
        <v>2.0</v>
      </c>
      <c r="AE126" s="15">
        <v>5.0</v>
      </c>
      <c r="AF126" s="15">
        <v>1.0</v>
      </c>
      <c r="AG126" s="15">
        <v>3.0</v>
      </c>
      <c r="AH126" s="15">
        <v>4.0</v>
      </c>
      <c r="AI126" s="15">
        <v>3.0</v>
      </c>
      <c r="AJ126" s="15">
        <v>3.0</v>
      </c>
      <c r="AN126" s="15">
        <v>4.0</v>
      </c>
      <c r="AO126" s="19" t="s">
        <v>72</v>
      </c>
      <c r="AP126" s="15">
        <v>23.0</v>
      </c>
      <c r="AQ126" s="15" t="s">
        <v>67</v>
      </c>
      <c r="AR126" s="15" t="s">
        <v>120</v>
      </c>
      <c r="AS126" s="15" t="s">
        <v>61</v>
      </c>
      <c r="AT126" s="15" t="s">
        <v>78</v>
      </c>
      <c r="AU126" s="15" t="s">
        <v>277</v>
      </c>
      <c r="AV126" s="15" t="s">
        <v>278</v>
      </c>
    </row>
    <row r="127">
      <c r="A127" s="14">
        <v>45068.78308055556</v>
      </c>
      <c r="B127" s="15" t="s">
        <v>53</v>
      </c>
      <c r="C127" s="15" t="s">
        <v>53</v>
      </c>
      <c r="D127" s="15" t="s">
        <v>72</v>
      </c>
      <c r="E127" s="15" t="s">
        <v>53</v>
      </c>
      <c r="F127" s="15">
        <v>3.0</v>
      </c>
      <c r="G127" s="15">
        <v>3.0</v>
      </c>
      <c r="H127" s="15">
        <v>3.0</v>
      </c>
      <c r="I127" s="15">
        <v>3.0</v>
      </c>
      <c r="J127" s="15">
        <v>2.0</v>
      </c>
      <c r="K127" s="15">
        <v>4.0</v>
      </c>
      <c r="L127" s="15">
        <v>2.0</v>
      </c>
      <c r="M127" s="15">
        <v>3.0</v>
      </c>
      <c r="N127" s="15">
        <v>3.0</v>
      </c>
      <c r="O127" s="15">
        <v>3.0</v>
      </c>
      <c r="P127" s="15">
        <v>3.0</v>
      </c>
      <c r="Q127" s="15" t="s">
        <v>56</v>
      </c>
      <c r="R127" s="15" t="s">
        <v>64</v>
      </c>
      <c r="S127" s="15" t="s">
        <v>55</v>
      </c>
      <c r="T127" s="22">
        <v>3.0</v>
      </c>
      <c r="U127" s="20">
        <f t="shared" si="8"/>
        <v>1</v>
      </c>
      <c r="V127" s="21" t="s">
        <v>72</v>
      </c>
      <c r="X127" s="15" t="s">
        <v>77</v>
      </c>
      <c r="Y127" s="15" t="s">
        <v>53</v>
      </c>
      <c r="Z127" s="15">
        <v>3.0</v>
      </c>
      <c r="AA127" s="15">
        <v>3.0</v>
      </c>
      <c r="AB127" s="15">
        <v>3.0</v>
      </c>
      <c r="AC127" s="15">
        <v>3.0</v>
      </c>
      <c r="AD127" s="15">
        <v>2.0</v>
      </c>
      <c r="AE127" s="15">
        <v>4.0</v>
      </c>
      <c r="AF127" s="15">
        <v>2.0</v>
      </c>
      <c r="AG127" s="15">
        <v>3.0</v>
      </c>
      <c r="AH127" s="15">
        <v>3.0</v>
      </c>
      <c r="AI127" s="15">
        <v>3.0</v>
      </c>
      <c r="AJ127" s="15">
        <v>3.0</v>
      </c>
      <c r="AN127" s="15">
        <v>3.0</v>
      </c>
      <c r="AO127" s="19" t="s">
        <v>72</v>
      </c>
      <c r="AP127" s="15">
        <v>46.0</v>
      </c>
      <c r="AQ127" s="15" t="s">
        <v>67</v>
      </c>
      <c r="AR127" s="15" t="s">
        <v>60</v>
      </c>
      <c r="AS127" s="15" t="s">
        <v>140</v>
      </c>
      <c r="AT127" s="15" t="s">
        <v>279</v>
      </c>
      <c r="AU127" s="15" t="s">
        <v>280</v>
      </c>
      <c r="AV127" s="15" t="s">
        <v>129</v>
      </c>
    </row>
    <row r="128">
      <c r="A128" s="14">
        <v>45068.78576883102</v>
      </c>
      <c r="B128" s="15" t="s">
        <v>53</v>
      </c>
      <c r="C128" s="15" t="s">
        <v>53</v>
      </c>
      <c r="D128" s="15" t="s">
        <v>104</v>
      </c>
      <c r="E128" s="15" t="s">
        <v>53</v>
      </c>
      <c r="F128" s="15">
        <v>5.0</v>
      </c>
      <c r="G128" s="15">
        <v>1.0</v>
      </c>
      <c r="H128" s="15">
        <v>1.0</v>
      </c>
      <c r="I128" s="15">
        <v>4.0</v>
      </c>
      <c r="J128" s="15">
        <v>3.0</v>
      </c>
      <c r="K128" s="15">
        <v>5.0</v>
      </c>
      <c r="L128" s="15">
        <v>1.0</v>
      </c>
      <c r="M128" s="15">
        <v>5.0</v>
      </c>
      <c r="N128" s="15">
        <v>5.0</v>
      </c>
      <c r="O128" s="15">
        <v>3.0</v>
      </c>
      <c r="P128" s="15">
        <v>3.0</v>
      </c>
      <c r="Q128" s="15" t="s">
        <v>64</v>
      </c>
      <c r="R128" s="15" t="s">
        <v>55</v>
      </c>
      <c r="S128" s="15" t="s">
        <v>56</v>
      </c>
      <c r="T128" s="22">
        <v>2.0</v>
      </c>
      <c r="U128" s="20">
        <f>+4</f>
        <v>4</v>
      </c>
      <c r="V128" s="21" t="s">
        <v>85</v>
      </c>
      <c r="X128" s="15" t="s">
        <v>66</v>
      </c>
      <c r="Y128" s="15" t="s">
        <v>53</v>
      </c>
      <c r="Z128" s="15">
        <v>5.0</v>
      </c>
      <c r="AA128" s="15">
        <v>1.0</v>
      </c>
      <c r="AB128" s="15">
        <v>1.0</v>
      </c>
      <c r="AC128" s="15">
        <v>4.0</v>
      </c>
      <c r="AD128" s="15">
        <v>3.0</v>
      </c>
      <c r="AE128" s="15">
        <v>5.0</v>
      </c>
      <c r="AF128" s="15">
        <v>1.0</v>
      </c>
      <c r="AG128" s="15">
        <v>5.0</v>
      </c>
      <c r="AH128" s="15">
        <v>5.0</v>
      </c>
      <c r="AI128" s="15">
        <v>3.0</v>
      </c>
      <c r="AJ128" s="15">
        <v>3.0</v>
      </c>
      <c r="AN128" s="15">
        <v>2.0</v>
      </c>
      <c r="AO128" s="19" t="s">
        <v>85</v>
      </c>
      <c r="AP128" s="15">
        <v>23.0</v>
      </c>
      <c r="AQ128" s="15" t="s">
        <v>59</v>
      </c>
      <c r="AR128" s="15" t="s">
        <v>60</v>
      </c>
      <c r="AS128" s="15" t="s">
        <v>140</v>
      </c>
      <c r="AT128" s="15" t="s">
        <v>93</v>
      </c>
      <c r="AU128" s="15" t="s">
        <v>281</v>
      </c>
      <c r="AV128" s="15" t="s">
        <v>129</v>
      </c>
    </row>
    <row r="129">
      <c r="A129" s="14">
        <v>45068.78826248842</v>
      </c>
      <c r="B129" s="15" t="s">
        <v>53</v>
      </c>
      <c r="C129" s="15" t="s">
        <v>53</v>
      </c>
      <c r="D129" s="15" t="s">
        <v>65</v>
      </c>
      <c r="E129" s="15" t="s">
        <v>53</v>
      </c>
      <c r="F129" s="15">
        <v>5.0</v>
      </c>
      <c r="G129" s="15">
        <v>2.0</v>
      </c>
      <c r="H129" s="15">
        <v>1.0</v>
      </c>
      <c r="I129" s="15">
        <v>4.0</v>
      </c>
      <c r="J129" s="15">
        <v>3.0</v>
      </c>
      <c r="K129" s="15">
        <v>4.0</v>
      </c>
      <c r="L129" s="15">
        <v>1.0</v>
      </c>
      <c r="M129" s="15">
        <v>2.0</v>
      </c>
      <c r="N129" s="15">
        <v>3.0</v>
      </c>
      <c r="O129" s="15">
        <v>3.0</v>
      </c>
      <c r="P129" s="15">
        <v>3.0</v>
      </c>
      <c r="Q129" s="15" t="s">
        <v>55</v>
      </c>
      <c r="R129" s="15" t="s">
        <v>64</v>
      </c>
      <c r="S129" s="15" t="s">
        <v>92</v>
      </c>
      <c r="T129" s="22">
        <v>2.0</v>
      </c>
      <c r="U129" s="20">
        <f>+1</f>
        <v>1</v>
      </c>
      <c r="V129" s="21" t="s">
        <v>72</v>
      </c>
      <c r="X129" s="15" t="s">
        <v>73</v>
      </c>
      <c r="Y129" s="15" t="s">
        <v>53</v>
      </c>
      <c r="Z129" s="15">
        <v>5.0</v>
      </c>
      <c r="AA129" s="15">
        <v>2.0</v>
      </c>
      <c r="AB129" s="15">
        <v>1.0</v>
      </c>
      <c r="AC129" s="15">
        <v>4.0</v>
      </c>
      <c r="AD129" s="15">
        <v>3.0</v>
      </c>
      <c r="AE129" s="15">
        <v>4.0</v>
      </c>
      <c r="AF129" s="15">
        <v>1.0</v>
      </c>
      <c r="AG129" s="15">
        <v>2.0</v>
      </c>
      <c r="AH129" s="15">
        <v>3.0</v>
      </c>
      <c r="AI129" s="15">
        <v>3.0</v>
      </c>
      <c r="AJ129" s="15">
        <v>3.0</v>
      </c>
      <c r="AN129" s="15">
        <v>2.0</v>
      </c>
      <c r="AO129" s="19" t="s">
        <v>72</v>
      </c>
      <c r="AP129" s="15">
        <v>19.0</v>
      </c>
      <c r="AQ129" s="15" t="s">
        <v>282</v>
      </c>
      <c r="AR129" s="15" t="s">
        <v>68</v>
      </c>
      <c r="AS129" s="15" t="s">
        <v>61</v>
      </c>
      <c r="AT129" s="15" t="s">
        <v>62</v>
      </c>
      <c r="AU129" s="15" t="s">
        <v>283</v>
      </c>
    </row>
    <row r="130">
      <c r="A130" s="14">
        <v>45068.79396763889</v>
      </c>
      <c r="B130" s="15" t="s">
        <v>53</v>
      </c>
      <c r="C130" s="15" t="s">
        <v>53</v>
      </c>
      <c r="D130" s="15" t="s">
        <v>104</v>
      </c>
      <c r="E130" s="15" t="s">
        <v>53</v>
      </c>
      <c r="F130" s="15">
        <v>5.0</v>
      </c>
      <c r="G130" s="15">
        <v>1.0</v>
      </c>
      <c r="H130" s="15">
        <v>1.0</v>
      </c>
      <c r="I130" s="15">
        <v>1.0</v>
      </c>
      <c r="J130" s="15">
        <v>4.0</v>
      </c>
      <c r="K130" s="15">
        <v>3.0</v>
      </c>
      <c r="L130" s="15">
        <v>3.0</v>
      </c>
      <c r="M130" s="15">
        <v>3.0</v>
      </c>
      <c r="N130" s="15">
        <v>3.0</v>
      </c>
      <c r="O130" s="15">
        <v>3.0</v>
      </c>
      <c r="P130" s="15">
        <v>3.0</v>
      </c>
      <c r="Q130" s="15" t="s">
        <v>64</v>
      </c>
      <c r="R130" s="15" t="s">
        <v>56</v>
      </c>
      <c r="S130" s="15" t="s">
        <v>92</v>
      </c>
      <c r="T130" s="22">
        <v>4.0</v>
      </c>
      <c r="U130" s="20">
        <f>+3</f>
        <v>3</v>
      </c>
      <c r="V130" s="21" t="s">
        <v>54</v>
      </c>
      <c r="X130" s="15" t="s">
        <v>73</v>
      </c>
      <c r="Y130" s="15" t="s">
        <v>53</v>
      </c>
      <c r="Z130" s="15">
        <v>5.0</v>
      </c>
      <c r="AA130" s="15">
        <v>1.0</v>
      </c>
      <c r="AB130" s="15">
        <v>1.0</v>
      </c>
      <c r="AC130" s="15">
        <v>1.0</v>
      </c>
      <c r="AD130" s="15">
        <v>4.0</v>
      </c>
      <c r="AE130" s="15">
        <v>3.0</v>
      </c>
      <c r="AF130" s="15">
        <v>3.0</v>
      </c>
      <c r="AG130" s="15">
        <v>3.0</v>
      </c>
      <c r="AH130" s="15">
        <v>3.0</v>
      </c>
      <c r="AI130" s="15">
        <v>3.0</v>
      </c>
      <c r="AJ130" s="15">
        <v>3.0</v>
      </c>
      <c r="AN130" s="15">
        <v>4.0</v>
      </c>
      <c r="AO130" s="19" t="s">
        <v>54</v>
      </c>
      <c r="AP130" s="15">
        <v>44.0</v>
      </c>
      <c r="AQ130" s="15" t="s">
        <v>67</v>
      </c>
      <c r="AR130" s="15" t="s">
        <v>68</v>
      </c>
      <c r="AS130" s="15" t="s">
        <v>140</v>
      </c>
      <c r="AT130" s="15" t="s">
        <v>105</v>
      </c>
      <c r="AU130" s="15" t="s">
        <v>284</v>
      </c>
    </row>
    <row r="131">
      <c r="A131" s="14">
        <v>45068.79481604167</v>
      </c>
      <c r="B131" s="15" t="s">
        <v>53</v>
      </c>
      <c r="C131" s="15" t="s">
        <v>53</v>
      </c>
      <c r="D131" s="15">
        <v>-5.0</v>
      </c>
      <c r="E131" s="15" t="s">
        <v>53</v>
      </c>
      <c r="F131" s="15">
        <v>2.0</v>
      </c>
      <c r="G131" s="15">
        <v>4.0</v>
      </c>
      <c r="H131" s="15">
        <v>3.0</v>
      </c>
      <c r="I131" s="15">
        <v>5.0</v>
      </c>
      <c r="J131" s="15">
        <v>1.0</v>
      </c>
      <c r="K131" s="15">
        <v>4.0</v>
      </c>
      <c r="L131" s="15">
        <v>1.0</v>
      </c>
      <c r="M131" s="15">
        <v>4.0</v>
      </c>
      <c r="N131" s="15">
        <v>4.0</v>
      </c>
      <c r="O131" s="15">
        <v>4.0</v>
      </c>
      <c r="P131" s="15">
        <v>4.0</v>
      </c>
      <c r="Q131" s="15" t="s">
        <v>55</v>
      </c>
      <c r="R131" s="15" t="s">
        <v>64</v>
      </c>
      <c r="S131" s="15" t="s">
        <v>83</v>
      </c>
      <c r="T131" s="23">
        <v>3.0</v>
      </c>
      <c r="U131" s="24">
        <v>-2.0</v>
      </c>
      <c r="V131" s="25"/>
      <c r="W131" s="15" t="s">
        <v>80</v>
      </c>
      <c r="AO131" s="26"/>
      <c r="AP131" s="15">
        <v>24.0</v>
      </c>
      <c r="AQ131" s="15" t="s">
        <v>59</v>
      </c>
      <c r="AR131" s="15" t="s">
        <v>60</v>
      </c>
      <c r="AS131" s="15" t="s">
        <v>61</v>
      </c>
      <c r="AT131" s="15" t="s">
        <v>93</v>
      </c>
      <c r="AU131" s="15" t="s">
        <v>285</v>
      </c>
      <c r="AV131" s="15" t="s">
        <v>286</v>
      </c>
    </row>
    <row r="132">
      <c r="A132" s="14">
        <v>45068.803114317125</v>
      </c>
      <c r="B132" s="15" t="s">
        <v>53</v>
      </c>
      <c r="C132" s="15" t="s">
        <v>53</v>
      </c>
      <c r="D132" s="15">
        <v>-1.0</v>
      </c>
      <c r="E132" s="15" t="s">
        <v>97</v>
      </c>
      <c r="F132" s="15">
        <v>3.0</v>
      </c>
      <c r="G132" s="15">
        <v>4.0</v>
      </c>
      <c r="H132" s="15">
        <v>3.0</v>
      </c>
      <c r="I132" s="15">
        <v>4.0</v>
      </c>
      <c r="J132" s="15">
        <v>3.0</v>
      </c>
      <c r="K132" s="15">
        <v>3.0</v>
      </c>
      <c r="L132" s="15">
        <v>3.0</v>
      </c>
      <c r="M132" s="15">
        <v>3.0</v>
      </c>
      <c r="N132" s="15">
        <v>2.0</v>
      </c>
      <c r="O132" s="15">
        <v>2.0</v>
      </c>
      <c r="P132" s="15">
        <v>2.0</v>
      </c>
      <c r="Q132" s="15" t="s">
        <v>83</v>
      </c>
      <c r="R132" s="15" t="s">
        <v>107</v>
      </c>
      <c r="S132" s="15" t="s">
        <v>92</v>
      </c>
      <c r="T132" s="23">
        <v>4.0</v>
      </c>
      <c r="U132" s="24">
        <f>+1</f>
        <v>1</v>
      </c>
      <c r="V132" s="21"/>
      <c r="X132" s="15" t="s">
        <v>73</v>
      </c>
      <c r="AO132" s="26"/>
      <c r="AP132" s="15">
        <v>22.0</v>
      </c>
      <c r="AQ132" s="15" t="s">
        <v>67</v>
      </c>
      <c r="AR132" s="15" t="s">
        <v>98</v>
      </c>
      <c r="AS132" s="15" t="s">
        <v>109</v>
      </c>
      <c r="AT132" s="15" t="s">
        <v>78</v>
      </c>
      <c r="AU132" s="15" t="s">
        <v>287</v>
      </c>
      <c r="AV132" s="15" t="s">
        <v>288</v>
      </c>
    </row>
    <row r="133">
      <c r="A133" s="14">
        <v>45068.80619716435</v>
      </c>
      <c r="B133" s="15" t="s">
        <v>53</v>
      </c>
      <c r="C133" s="15" t="s">
        <v>53</v>
      </c>
      <c r="D133" s="15" t="s">
        <v>85</v>
      </c>
      <c r="E133" s="15" t="s">
        <v>53</v>
      </c>
      <c r="F133" s="15">
        <v>4.0</v>
      </c>
      <c r="G133" s="15">
        <v>4.0</v>
      </c>
      <c r="H133" s="15">
        <v>4.0</v>
      </c>
      <c r="I133" s="15">
        <v>4.0</v>
      </c>
      <c r="J133" s="15">
        <v>4.0</v>
      </c>
      <c r="K133" s="15">
        <v>4.0</v>
      </c>
      <c r="L133" s="15">
        <v>2.0</v>
      </c>
      <c r="M133" s="15">
        <v>4.0</v>
      </c>
      <c r="N133" s="15">
        <v>4.0</v>
      </c>
      <c r="O133" s="15">
        <v>4.0</v>
      </c>
      <c r="P133" s="15">
        <v>4.0</v>
      </c>
      <c r="Q133" s="15" t="s">
        <v>55</v>
      </c>
      <c r="R133" s="15" t="s">
        <v>64</v>
      </c>
      <c r="S133" s="15" t="s">
        <v>57</v>
      </c>
      <c r="T133" s="22">
        <v>4.0</v>
      </c>
      <c r="U133" s="20">
        <f>+2</f>
        <v>2</v>
      </c>
      <c r="V133" s="21" t="s">
        <v>65</v>
      </c>
      <c r="X133" s="15" t="s">
        <v>73</v>
      </c>
      <c r="Y133" s="15" t="s">
        <v>53</v>
      </c>
      <c r="Z133" s="15">
        <v>4.0</v>
      </c>
      <c r="AA133" s="15">
        <v>4.0</v>
      </c>
      <c r="AB133" s="15">
        <v>4.0</v>
      </c>
      <c r="AC133" s="15">
        <v>4.0</v>
      </c>
      <c r="AD133" s="15">
        <v>4.0</v>
      </c>
      <c r="AE133" s="15">
        <v>4.0</v>
      </c>
      <c r="AF133" s="15">
        <v>2.0</v>
      </c>
      <c r="AG133" s="15">
        <v>4.0</v>
      </c>
      <c r="AH133" s="15">
        <v>4.0</v>
      </c>
      <c r="AI133" s="15">
        <v>4.0</v>
      </c>
      <c r="AJ133" s="15">
        <v>4.0</v>
      </c>
      <c r="AN133" s="15">
        <v>4.0</v>
      </c>
      <c r="AO133" s="19" t="s">
        <v>65</v>
      </c>
      <c r="AP133" s="15">
        <v>24.0</v>
      </c>
      <c r="AQ133" s="15" t="s">
        <v>67</v>
      </c>
      <c r="AR133" s="15" t="s">
        <v>60</v>
      </c>
      <c r="AS133" s="15" t="s">
        <v>140</v>
      </c>
      <c r="AT133" s="15" t="s">
        <v>78</v>
      </c>
      <c r="AU133" s="15" t="s">
        <v>289</v>
      </c>
    </row>
    <row r="134">
      <c r="A134" s="14">
        <v>45068.80779523148</v>
      </c>
      <c r="B134" s="15" t="s">
        <v>53</v>
      </c>
      <c r="C134" s="15" t="s">
        <v>53</v>
      </c>
      <c r="D134" s="15" t="s">
        <v>54</v>
      </c>
      <c r="E134" s="15" t="s">
        <v>53</v>
      </c>
      <c r="F134" s="15">
        <v>3.0</v>
      </c>
      <c r="G134" s="15">
        <v>1.0</v>
      </c>
      <c r="H134" s="15">
        <v>1.0</v>
      </c>
      <c r="I134" s="15">
        <v>3.0</v>
      </c>
      <c r="J134" s="15">
        <v>2.0</v>
      </c>
      <c r="K134" s="15">
        <v>5.0</v>
      </c>
      <c r="L134" s="15">
        <v>1.0</v>
      </c>
      <c r="M134" s="15">
        <v>4.0</v>
      </c>
      <c r="N134" s="15">
        <v>4.0</v>
      </c>
      <c r="O134" s="15">
        <v>4.0</v>
      </c>
      <c r="P134" s="15">
        <v>5.0</v>
      </c>
      <c r="Q134" s="15" t="s">
        <v>57</v>
      </c>
      <c r="R134" s="15" t="s">
        <v>55</v>
      </c>
      <c r="S134" s="15" t="s">
        <v>86</v>
      </c>
      <c r="T134" s="22">
        <v>5.0</v>
      </c>
      <c r="U134" s="17">
        <v>-1.0</v>
      </c>
      <c r="V134" s="18">
        <v>-1.0</v>
      </c>
      <c r="W134" s="15" t="s">
        <v>290</v>
      </c>
      <c r="Y134" s="15" t="s">
        <v>53</v>
      </c>
      <c r="Z134" s="15">
        <v>3.0</v>
      </c>
      <c r="AA134" s="15">
        <v>1.0</v>
      </c>
      <c r="AB134" s="15">
        <v>1.0</v>
      </c>
      <c r="AC134" s="15">
        <v>3.0</v>
      </c>
      <c r="AD134" s="15">
        <v>2.0</v>
      </c>
      <c r="AE134" s="15">
        <v>5.0</v>
      </c>
      <c r="AF134" s="15">
        <v>1.0</v>
      </c>
      <c r="AG134" s="15">
        <v>4.0</v>
      </c>
      <c r="AH134" s="15">
        <v>4.0</v>
      </c>
      <c r="AI134" s="15">
        <v>4.0</v>
      </c>
      <c r="AJ134" s="15">
        <v>5.0</v>
      </c>
      <c r="AN134" s="15">
        <v>5.0</v>
      </c>
      <c r="AO134" s="19">
        <v>-1.0</v>
      </c>
      <c r="AP134" s="15">
        <v>22.0</v>
      </c>
      <c r="AQ134" s="15" t="s">
        <v>67</v>
      </c>
      <c r="AR134" s="15" t="s">
        <v>60</v>
      </c>
      <c r="AS134" s="15" t="s">
        <v>61</v>
      </c>
      <c r="AT134" s="15" t="s">
        <v>78</v>
      </c>
      <c r="AU134" s="15" t="s">
        <v>291</v>
      </c>
    </row>
    <row r="135">
      <c r="A135" s="14">
        <v>45068.81036199074</v>
      </c>
      <c r="B135" s="15" t="s">
        <v>53</v>
      </c>
      <c r="C135" s="15" t="s">
        <v>53</v>
      </c>
      <c r="D135" s="15" t="s">
        <v>54</v>
      </c>
      <c r="E135" s="15" t="s">
        <v>53</v>
      </c>
      <c r="F135" s="15">
        <v>4.0</v>
      </c>
      <c r="G135" s="15">
        <v>2.0</v>
      </c>
      <c r="H135" s="15">
        <v>2.0</v>
      </c>
      <c r="I135" s="15">
        <v>4.0</v>
      </c>
      <c r="J135" s="15">
        <v>5.0</v>
      </c>
      <c r="K135" s="15">
        <v>3.0</v>
      </c>
      <c r="L135" s="15">
        <v>2.0</v>
      </c>
      <c r="M135" s="15">
        <v>2.0</v>
      </c>
      <c r="N135" s="15">
        <v>3.0</v>
      </c>
      <c r="O135" s="15">
        <v>3.0</v>
      </c>
      <c r="P135" s="15">
        <v>2.0</v>
      </c>
      <c r="Q135" s="15" t="s">
        <v>55</v>
      </c>
      <c r="R135" s="15" t="s">
        <v>56</v>
      </c>
      <c r="S135" s="15" t="s">
        <v>83</v>
      </c>
      <c r="T135" s="22">
        <v>4.0</v>
      </c>
      <c r="U135" s="20">
        <f>+3</f>
        <v>3</v>
      </c>
      <c r="V135" s="21" t="s">
        <v>54</v>
      </c>
      <c r="X135" s="15" t="s">
        <v>113</v>
      </c>
      <c r="Y135" s="15" t="s">
        <v>53</v>
      </c>
      <c r="Z135" s="15">
        <v>4.0</v>
      </c>
      <c r="AA135" s="15">
        <v>2.0</v>
      </c>
      <c r="AB135" s="15">
        <v>2.0</v>
      </c>
      <c r="AC135" s="15">
        <v>4.0</v>
      </c>
      <c r="AD135" s="15">
        <v>5.0</v>
      </c>
      <c r="AE135" s="15">
        <v>3.0</v>
      </c>
      <c r="AF135" s="15">
        <v>2.0</v>
      </c>
      <c r="AG135" s="15">
        <v>2.0</v>
      </c>
      <c r="AH135" s="15">
        <v>3.0</v>
      </c>
      <c r="AI135" s="15">
        <v>3.0</v>
      </c>
      <c r="AJ135" s="15">
        <v>2.0</v>
      </c>
      <c r="AN135" s="15">
        <v>4.0</v>
      </c>
      <c r="AO135" s="19" t="s">
        <v>54</v>
      </c>
      <c r="AP135" s="15">
        <v>30.0</v>
      </c>
      <c r="AQ135" s="15" t="s">
        <v>59</v>
      </c>
      <c r="AR135" s="15" t="s">
        <v>60</v>
      </c>
      <c r="AS135" s="15" t="s">
        <v>140</v>
      </c>
      <c r="AT135" s="15" t="s">
        <v>93</v>
      </c>
      <c r="AU135" s="15" t="s">
        <v>292</v>
      </c>
    </row>
    <row r="136">
      <c r="A136" s="14">
        <v>45068.810684490745</v>
      </c>
      <c r="B136" s="15" t="s">
        <v>53</v>
      </c>
      <c r="C136" s="15" t="s">
        <v>53</v>
      </c>
      <c r="D136" s="15" t="s">
        <v>65</v>
      </c>
      <c r="E136" s="15" t="s">
        <v>53</v>
      </c>
      <c r="F136" s="15">
        <v>5.0</v>
      </c>
      <c r="G136" s="15">
        <v>2.0</v>
      </c>
      <c r="H136" s="15">
        <v>2.0</v>
      </c>
      <c r="I136" s="15">
        <v>3.0</v>
      </c>
      <c r="J136" s="15">
        <v>4.0</v>
      </c>
      <c r="K136" s="15">
        <v>4.0</v>
      </c>
      <c r="L136" s="15">
        <v>2.0</v>
      </c>
      <c r="M136" s="15">
        <v>4.0</v>
      </c>
      <c r="N136" s="15">
        <v>3.0</v>
      </c>
      <c r="O136" s="15">
        <v>3.0</v>
      </c>
      <c r="P136" s="15">
        <v>3.0</v>
      </c>
      <c r="Q136" s="15" t="s">
        <v>64</v>
      </c>
      <c r="R136" s="15" t="s">
        <v>55</v>
      </c>
      <c r="S136" s="15" t="s">
        <v>56</v>
      </c>
      <c r="T136" s="22">
        <v>4.0</v>
      </c>
      <c r="U136" s="20">
        <f>+2</f>
        <v>2</v>
      </c>
      <c r="V136" s="21" t="s">
        <v>65</v>
      </c>
      <c r="X136" s="15" t="s">
        <v>77</v>
      </c>
      <c r="Y136" s="15" t="s">
        <v>53</v>
      </c>
      <c r="Z136" s="15">
        <v>5.0</v>
      </c>
      <c r="AA136" s="15">
        <v>2.0</v>
      </c>
      <c r="AB136" s="15">
        <v>2.0</v>
      </c>
      <c r="AC136" s="15">
        <v>3.0</v>
      </c>
      <c r="AD136" s="15">
        <v>4.0</v>
      </c>
      <c r="AE136" s="15">
        <v>4.0</v>
      </c>
      <c r="AF136" s="15">
        <v>2.0</v>
      </c>
      <c r="AG136" s="15">
        <v>4.0</v>
      </c>
      <c r="AH136" s="15">
        <v>3.0</v>
      </c>
      <c r="AI136" s="15">
        <v>3.0</v>
      </c>
      <c r="AJ136" s="15">
        <v>3.0</v>
      </c>
      <c r="AN136" s="15">
        <v>4.0</v>
      </c>
      <c r="AO136" s="19" t="s">
        <v>65</v>
      </c>
      <c r="AP136" s="15">
        <v>27.0</v>
      </c>
      <c r="AQ136" s="15" t="s">
        <v>67</v>
      </c>
      <c r="AR136" s="15" t="s">
        <v>60</v>
      </c>
      <c r="AS136" s="15" t="s">
        <v>61</v>
      </c>
      <c r="AT136" s="15" t="s">
        <v>78</v>
      </c>
      <c r="AU136" s="15" t="s">
        <v>293</v>
      </c>
    </row>
    <row r="137">
      <c r="A137" s="14">
        <v>45068.81120067129</v>
      </c>
      <c r="B137" s="15" t="s">
        <v>53</v>
      </c>
      <c r="C137" s="15" t="s">
        <v>53</v>
      </c>
      <c r="D137" s="15" t="s">
        <v>65</v>
      </c>
      <c r="E137" s="15" t="s">
        <v>53</v>
      </c>
      <c r="F137" s="15">
        <v>2.0</v>
      </c>
      <c r="G137" s="15">
        <v>4.0</v>
      </c>
      <c r="H137" s="15">
        <v>4.0</v>
      </c>
      <c r="I137" s="15">
        <v>5.0</v>
      </c>
      <c r="J137" s="15">
        <v>2.0</v>
      </c>
      <c r="K137" s="15">
        <v>4.0</v>
      </c>
      <c r="L137" s="15">
        <v>3.0</v>
      </c>
      <c r="M137" s="15">
        <v>4.0</v>
      </c>
      <c r="N137" s="15">
        <v>4.0</v>
      </c>
      <c r="O137" s="15">
        <v>4.0</v>
      </c>
      <c r="P137" s="15">
        <v>4.0</v>
      </c>
      <c r="Q137" s="15" t="s">
        <v>55</v>
      </c>
      <c r="R137" s="15" t="s">
        <v>57</v>
      </c>
      <c r="S137" s="15" t="s">
        <v>64</v>
      </c>
      <c r="T137" s="22">
        <v>4.0</v>
      </c>
      <c r="U137" s="17">
        <v>-3.0</v>
      </c>
      <c r="V137" s="18">
        <v>-3.0</v>
      </c>
      <c r="W137" s="15" t="s">
        <v>80</v>
      </c>
      <c r="Y137" s="15" t="s">
        <v>53</v>
      </c>
      <c r="Z137" s="15">
        <v>2.0</v>
      </c>
      <c r="AA137" s="15">
        <v>4.0</v>
      </c>
      <c r="AB137" s="15">
        <v>4.0</v>
      </c>
      <c r="AC137" s="15">
        <v>5.0</v>
      </c>
      <c r="AD137" s="15">
        <v>2.0</v>
      </c>
      <c r="AE137" s="15">
        <v>4.0</v>
      </c>
      <c r="AF137" s="15">
        <v>3.0</v>
      </c>
      <c r="AG137" s="15">
        <v>4.0</v>
      </c>
      <c r="AH137" s="15">
        <v>4.0</v>
      </c>
      <c r="AI137" s="15">
        <v>4.0</v>
      </c>
      <c r="AJ137" s="15">
        <v>4.0</v>
      </c>
      <c r="AN137" s="15">
        <v>4.0</v>
      </c>
      <c r="AO137" s="19">
        <v>-3.0</v>
      </c>
      <c r="AP137" s="15">
        <v>22.0</v>
      </c>
      <c r="AQ137" s="15" t="s">
        <v>67</v>
      </c>
      <c r="AR137" s="15" t="s">
        <v>60</v>
      </c>
      <c r="AS137" s="15" t="s">
        <v>109</v>
      </c>
      <c r="AT137" s="15" t="s">
        <v>69</v>
      </c>
      <c r="AU137" s="15" t="s">
        <v>294</v>
      </c>
    </row>
    <row r="138">
      <c r="A138" s="14">
        <v>45068.8138047338</v>
      </c>
      <c r="B138" s="15" t="s">
        <v>53</v>
      </c>
      <c r="C138" s="15" t="s">
        <v>53</v>
      </c>
      <c r="D138" s="15" t="s">
        <v>104</v>
      </c>
      <c r="E138" s="15" t="s">
        <v>53</v>
      </c>
      <c r="F138" s="15">
        <v>5.0</v>
      </c>
      <c r="G138" s="15">
        <v>1.0</v>
      </c>
      <c r="H138" s="15">
        <v>1.0</v>
      </c>
      <c r="I138" s="15">
        <v>5.0</v>
      </c>
      <c r="J138" s="15">
        <v>5.0</v>
      </c>
      <c r="K138" s="15">
        <v>4.0</v>
      </c>
      <c r="L138" s="15">
        <v>1.0</v>
      </c>
      <c r="M138" s="15">
        <v>2.0</v>
      </c>
      <c r="N138" s="15">
        <v>3.0</v>
      </c>
      <c r="O138" s="15">
        <v>3.0</v>
      </c>
      <c r="P138" s="15">
        <v>3.0</v>
      </c>
      <c r="Q138" s="15" t="s">
        <v>86</v>
      </c>
      <c r="R138" s="15" t="s">
        <v>64</v>
      </c>
      <c r="S138" s="15" t="s">
        <v>92</v>
      </c>
      <c r="T138" s="22">
        <v>2.0</v>
      </c>
      <c r="U138" s="20">
        <f>+5</f>
        <v>5</v>
      </c>
      <c r="V138" s="21" t="s">
        <v>104</v>
      </c>
      <c r="X138" s="15" t="s">
        <v>77</v>
      </c>
      <c r="Y138" s="15" t="s">
        <v>53</v>
      </c>
      <c r="Z138" s="15">
        <v>5.0</v>
      </c>
      <c r="AA138" s="15">
        <v>1.0</v>
      </c>
      <c r="AB138" s="15">
        <v>1.0</v>
      </c>
      <c r="AC138" s="15">
        <v>5.0</v>
      </c>
      <c r="AD138" s="15">
        <v>5.0</v>
      </c>
      <c r="AE138" s="15">
        <v>4.0</v>
      </c>
      <c r="AF138" s="15">
        <v>1.0</v>
      </c>
      <c r="AG138" s="15">
        <v>2.0</v>
      </c>
      <c r="AH138" s="15">
        <v>3.0</v>
      </c>
      <c r="AI138" s="15">
        <v>3.0</v>
      </c>
      <c r="AJ138" s="15">
        <v>3.0</v>
      </c>
      <c r="AN138" s="15">
        <v>2.0</v>
      </c>
      <c r="AO138" s="19" t="s">
        <v>104</v>
      </c>
      <c r="AP138" s="15">
        <v>21.0</v>
      </c>
      <c r="AQ138" s="15" t="s">
        <v>67</v>
      </c>
      <c r="AR138" s="15" t="s">
        <v>295</v>
      </c>
      <c r="AS138" s="15" t="s">
        <v>109</v>
      </c>
      <c r="AT138" s="15" t="s">
        <v>69</v>
      </c>
      <c r="AU138" s="15" t="s">
        <v>296</v>
      </c>
    </row>
    <row r="139">
      <c r="A139" s="14">
        <v>45068.81451940972</v>
      </c>
      <c r="B139" s="15" t="s">
        <v>53</v>
      </c>
      <c r="C139" s="15" t="s">
        <v>53</v>
      </c>
      <c r="D139" s="15">
        <v>-5.0</v>
      </c>
      <c r="E139" s="15" t="s">
        <v>53</v>
      </c>
      <c r="F139" s="15">
        <v>1.0</v>
      </c>
      <c r="G139" s="15">
        <v>5.0</v>
      </c>
      <c r="H139" s="15">
        <v>5.0</v>
      </c>
      <c r="I139" s="15">
        <v>5.0</v>
      </c>
      <c r="J139" s="15">
        <v>1.0</v>
      </c>
      <c r="K139" s="15">
        <v>5.0</v>
      </c>
      <c r="L139" s="15">
        <v>1.0</v>
      </c>
      <c r="M139" s="15">
        <v>5.0</v>
      </c>
      <c r="N139" s="15">
        <v>5.0</v>
      </c>
      <c r="O139" s="15">
        <v>5.0</v>
      </c>
      <c r="P139" s="15">
        <v>5.0</v>
      </c>
      <c r="Q139" s="15" t="s">
        <v>55</v>
      </c>
      <c r="R139" s="15" t="s">
        <v>56</v>
      </c>
      <c r="S139" s="15" t="s">
        <v>83</v>
      </c>
      <c r="T139" s="23">
        <v>5.0</v>
      </c>
      <c r="U139" s="24">
        <v>-5.0</v>
      </c>
      <c r="V139" s="25"/>
      <c r="W139" s="15" t="s">
        <v>80</v>
      </c>
      <c r="AO139" s="26"/>
      <c r="AP139" s="15">
        <v>24.0</v>
      </c>
      <c r="AQ139" s="15" t="s">
        <v>67</v>
      </c>
      <c r="AR139" s="15" t="s">
        <v>297</v>
      </c>
      <c r="AS139" s="15" t="s">
        <v>61</v>
      </c>
      <c r="AT139" s="15" t="s">
        <v>298</v>
      </c>
      <c r="AU139" s="15" t="s">
        <v>299</v>
      </c>
      <c r="AV139" s="15" t="s">
        <v>300</v>
      </c>
    </row>
    <row r="140">
      <c r="A140" s="14">
        <v>45068.82163392361</v>
      </c>
      <c r="B140" s="15" t="s">
        <v>53</v>
      </c>
      <c r="C140" s="15" t="s">
        <v>53</v>
      </c>
      <c r="D140" s="15" t="s">
        <v>104</v>
      </c>
      <c r="E140" s="15" t="s">
        <v>53</v>
      </c>
      <c r="F140" s="15">
        <v>5.0</v>
      </c>
      <c r="G140" s="15">
        <v>3.0</v>
      </c>
      <c r="H140" s="15">
        <v>3.0</v>
      </c>
      <c r="I140" s="15">
        <v>4.0</v>
      </c>
      <c r="J140" s="15">
        <v>5.0</v>
      </c>
      <c r="K140" s="15">
        <v>2.0</v>
      </c>
      <c r="L140" s="15">
        <v>3.0</v>
      </c>
      <c r="M140" s="15">
        <v>3.0</v>
      </c>
      <c r="N140" s="15">
        <v>3.0</v>
      </c>
      <c r="O140" s="15">
        <v>3.0</v>
      </c>
      <c r="P140" s="15">
        <v>3.0</v>
      </c>
      <c r="Q140" s="15" t="s">
        <v>83</v>
      </c>
      <c r="R140" s="15" t="s">
        <v>56</v>
      </c>
      <c r="S140" s="15" t="s">
        <v>92</v>
      </c>
      <c r="T140" s="22">
        <v>3.0</v>
      </c>
      <c r="U140" s="20">
        <f>+3</f>
        <v>3</v>
      </c>
      <c r="V140" s="21" t="s">
        <v>54</v>
      </c>
      <c r="X140" s="15" t="s">
        <v>116</v>
      </c>
      <c r="Y140" s="15" t="s">
        <v>53</v>
      </c>
      <c r="Z140" s="15">
        <v>5.0</v>
      </c>
      <c r="AA140" s="15">
        <v>3.0</v>
      </c>
      <c r="AB140" s="15">
        <v>3.0</v>
      </c>
      <c r="AC140" s="15">
        <v>4.0</v>
      </c>
      <c r="AD140" s="15">
        <v>5.0</v>
      </c>
      <c r="AE140" s="15">
        <v>2.0</v>
      </c>
      <c r="AF140" s="15">
        <v>3.0</v>
      </c>
      <c r="AG140" s="15">
        <v>3.0</v>
      </c>
      <c r="AH140" s="15">
        <v>3.0</v>
      </c>
      <c r="AI140" s="15">
        <v>3.0</v>
      </c>
      <c r="AJ140" s="15">
        <v>3.0</v>
      </c>
      <c r="AN140" s="15">
        <v>3.0</v>
      </c>
      <c r="AO140" s="19" t="s">
        <v>54</v>
      </c>
      <c r="AP140" s="15">
        <v>38.0</v>
      </c>
      <c r="AQ140" s="15" t="s">
        <v>67</v>
      </c>
      <c r="AR140" s="15" t="s">
        <v>60</v>
      </c>
      <c r="AS140" s="15" t="s">
        <v>109</v>
      </c>
      <c r="AT140" s="15" t="s">
        <v>93</v>
      </c>
      <c r="AU140" s="15" t="s">
        <v>301</v>
      </c>
      <c r="AV140" s="15" t="s">
        <v>302</v>
      </c>
    </row>
    <row r="141">
      <c r="A141" s="14">
        <v>45068.82218346065</v>
      </c>
      <c r="B141" s="15" t="s">
        <v>53</v>
      </c>
      <c r="C141" s="15" t="s">
        <v>53</v>
      </c>
      <c r="D141" s="15" t="s">
        <v>104</v>
      </c>
      <c r="E141" s="15" t="s">
        <v>53</v>
      </c>
      <c r="F141" s="15">
        <v>3.0</v>
      </c>
      <c r="G141" s="15">
        <v>4.0</v>
      </c>
      <c r="H141" s="15">
        <v>5.0</v>
      </c>
      <c r="I141" s="15">
        <v>5.0</v>
      </c>
      <c r="J141" s="15">
        <v>2.0</v>
      </c>
      <c r="K141" s="15">
        <v>5.0</v>
      </c>
      <c r="L141" s="15">
        <v>1.0</v>
      </c>
      <c r="M141" s="15">
        <v>5.0</v>
      </c>
      <c r="N141" s="15">
        <v>5.0</v>
      </c>
      <c r="O141" s="15">
        <v>5.0</v>
      </c>
      <c r="P141" s="15">
        <v>5.0</v>
      </c>
      <c r="Q141" s="15" t="s">
        <v>55</v>
      </c>
      <c r="R141" s="15" t="s">
        <v>92</v>
      </c>
      <c r="S141" s="15" t="s">
        <v>57</v>
      </c>
      <c r="T141" s="22">
        <v>4.0</v>
      </c>
      <c r="U141" s="20">
        <f>+2</f>
        <v>2</v>
      </c>
      <c r="V141" s="21" t="s">
        <v>65</v>
      </c>
      <c r="X141" s="15" t="s">
        <v>77</v>
      </c>
      <c r="Y141" s="15" t="s">
        <v>53</v>
      </c>
      <c r="Z141" s="15">
        <v>3.0</v>
      </c>
      <c r="AA141" s="15">
        <v>4.0</v>
      </c>
      <c r="AB141" s="15">
        <v>5.0</v>
      </c>
      <c r="AC141" s="15">
        <v>5.0</v>
      </c>
      <c r="AD141" s="15">
        <v>2.0</v>
      </c>
      <c r="AE141" s="15">
        <v>5.0</v>
      </c>
      <c r="AF141" s="15">
        <v>1.0</v>
      </c>
      <c r="AG141" s="15">
        <v>5.0</v>
      </c>
      <c r="AH141" s="15">
        <v>5.0</v>
      </c>
      <c r="AI141" s="15">
        <v>5.0</v>
      </c>
      <c r="AJ141" s="15">
        <v>5.0</v>
      </c>
      <c r="AN141" s="15">
        <v>4.0</v>
      </c>
      <c r="AO141" s="19" t="s">
        <v>65</v>
      </c>
      <c r="AP141" s="15">
        <v>20.0</v>
      </c>
      <c r="AQ141" s="15" t="s">
        <v>67</v>
      </c>
      <c r="AR141" s="15" t="s">
        <v>122</v>
      </c>
      <c r="AS141" s="15" t="s">
        <v>61</v>
      </c>
      <c r="AT141" s="15" t="s">
        <v>78</v>
      </c>
      <c r="AU141" s="15" t="s">
        <v>303</v>
      </c>
    </row>
    <row r="142">
      <c r="A142" s="14">
        <v>45068.82361208333</v>
      </c>
      <c r="B142" s="15" t="s">
        <v>53</v>
      </c>
      <c r="C142" s="15" t="s">
        <v>53</v>
      </c>
      <c r="D142" s="15" t="s">
        <v>104</v>
      </c>
      <c r="E142" s="15" t="s">
        <v>53</v>
      </c>
      <c r="F142" s="15">
        <v>4.0</v>
      </c>
      <c r="G142" s="15">
        <v>2.0</v>
      </c>
      <c r="H142" s="15">
        <v>3.0</v>
      </c>
      <c r="I142" s="15">
        <v>5.0</v>
      </c>
      <c r="J142" s="15">
        <v>3.0</v>
      </c>
      <c r="K142" s="15">
        <v>5.0</v>
      </c>
      <c r="L142" s="15">
        <v>1.0</v>
      </c>
      <c r="M142" s="15">
        <v>5.0</v>
      </c>
      <c r="N142" s="15">
        <v>5.0</v>
      </c>
      <c r="O142" s="15">
        <v>5.0</v>
      </c>
      <c r="P142" s="15">
        <v>5.0</v>
      </c>
      <c r="Q142" s="15" t="s">
        <v>55</v>
      </c>
      <c r="R142" s="15" t="s">
        <v>56</v>
      </c>
      <c r="S142" s="15" t="s">
        <v>64</v>
      </c>
      <c r="T142" s="22">
        <v>4.0</v>
      </c>
      <c r="U142" s="17">
        <v>-2.0</v>
      </c>
      <c r="V142" s="18">
        <v>-2.0</v>
      </c>
      <c r="W142" s="15" t="s">
        <v>80</v>
      </c>
      <c r="Y142" s="15" t="s">
        <v>53</v>
      </c>
      <c r="Z142" s="15">
        <v>4.0</v>
      </c>
      <c r="AA142" s="15">
        <v>2.0</v>
      </c>
      <c r="AB142" s="15">
        <v>3.0</v>
      </c>
      <c r="AC142" s="15">
        <v>5.0</v>
      </c>
      <c r="AD142" s="15">
        <v>3.0</v>
      </c>
      <c r="AE142" s="15">
        <v>5.0</v>
      </c>
      <c r="AF142" s="15">
        <v>1.0</v>
      </c>
      <c r="AG142" s="15">
        <v>5.0</v>
      </c>
      <c r="AH142" s="15">
        <v>5.0</v>
      </c>
      <c r="AI142" s="15">
        <v>5.0</v>
      </c>
      <c r="AJ142" s="15">
        <v>5.0</v>
      </c>
      <c r="AN142" s="15">
        <v>4.0</v>
      </c>
      <c r="AO142" s="19">
        <v>-2.0</v>
      </c>
      <c r="AP142" s="15">
        <v>20.0</v>
      </c>
      <c r="AQ142" s="15" t="s">
        <v>67</v>
      </c>
      <c r="AR142" s="15" t="s">
        <v>98</v>
      </c>
      <c r="AS142" s="15" t="s">
        <v>109</v>
      </c>
      <c r="AT142" s="15" t="s">
        <v>93</v>
      </c>
      <c r="AU142" s="15" t="s">
        <v>304</v>
      </c>
    </row>
    <row r="143">
      <c r="A143" s="14">
        <v>45068.82768876158</v>
      </c>
      <c r="B143" s="15" t="s">
        <v>53</v>
      </c>
      <c r="C143" s="15" t="s">
        <v>53</v>
      </c>
      <c r="D143" s="15" t="s">
        <v>72</v>
      </c>
      <c r="E143" s="15" t="s">
        <v>53</v>
      </c>
      <c r="F143" s="15">
        <v>5.0</v>
      </c>
      <c r="G143" s="15">
        <v>1.0</v>
      </c>
      <c r="H143" s="15">
        <v>1.0</v>
      </c>
      <c r="I143" s="15">
        <v>5.0</v>
      </c>
      <c r="J143" s="15">
        <v>3.0</v>
      </c>
      <c r="K143" s="15">
        <v>1.0</v>
      </c>
      <c r="L143" s="15">
        <v>1.0</v>
      </c>
      <c r="M143" s="15">
        <v>1.0</v>
      </c>
      <c r="N143" s="15">
        <v>1.0</v>
      </c>
      <c r="O143" s="15">
        <v>1.0</v>
      </c>
      <c r="P143" s="15">
        <v>1.0</v>
      </c>
      <c r="Q143" s="15" t="s">
        <v>55</v>
      </c>
      <c r="R143" s="15" t="s">
        <v>64</v>
      </c>
      <c r="S143" s="15" t="s">
        <v>56</v>
      </c>
      <c r="T143" s="22">
        <v>3.0</v>
      </c>
      <c r="U143" s="20">
        <f t="shared" ref="U143:U144" si="9">+1</f>
        <v>1</v>
      </c>
      <c r="V143" s="21" t="s">
        <v>72</v>
      </c>
      <c r="X143" s="15" t="s">
        <v>108</v>
      </c>
      <c r="Y143" s="15" t="s">
        <v>53</v>
      </c>
      <c r="Z143" s="15">
        <v>5.0</v>
      </c>
      <c r="AA143" s="15">
        <v>1.0</v>
      </c>
      <c r="AB143" s="15">
        <v>1.0</v>
      </c>
      <c r="AC143" s="15">
        <v>5.0</v>
      </c>
      <c r="AD143" s="15">
        <v>3.0</v>
      </c>
      <c r="AE143" s="15">
        <v>1.0</v>
      </c>
      <c r="AF143" s="15">
        <v>1.0</v>
      </c>
      <c r="AG143" s="15">
        <v>1.0</v>
      </c>
      <c r="AH143" s="15">
        <v>1.0</v>
      </c>
      <c r="AI143" s="15">
        <v>1.0</v>
      </c>
      <c r="AJ143" s="15">
        <v>1.0</v>
      </c>
      <c r="AN143" s="15">
        <v>3.0</v>
      </c>
      <c r="AO143" s="19" t="s">
        <v>72</v>
      </c>
      <c r="AP143" s="15">
        <v>19.0</v>
      </c>
      <c r="AQ143" s="15" t="s">
        <v>59</v>
      </c>
      <c r="AR143" s="15" t="s">
        <v>305</v>
      </c>
      <c r="AS143" s="15" t="s">
        <v>109</v>
      </c>
      <c r="AT143" s="15" t="s">
        <v>306</v>
      </c>
      <c r="AU143" s="15" t="s">
        <v>307</v>
      </c>
      <c r="AV143" s="15" t="s">
        <v>308</v>
      </c>
    </row>
    <row r="144">
      <c r="A144" s="14">
        <v>45068.83472056713</v>
      </c>
      <c r="B144" s="15" t="s">
        <v>53</v>
      </c>
      <c r="C144" s="15" t="s">
        <v>53</v>
      </c>
      <c r="D144" s="15" t="s">
        <v>65</v>
      </c>
      <c r="E144" s="15" t="s">
        <v>53</v>
      </c>
      <c r="F144" s="15">
        <v>5.0</v>
      </c>
      <c r="G144" s="15">
        <v>1.0</v>
      </c>
      <c r="H144" s="15">
        <v>2.0</v>
      </c>
      <c r="I144" s="15">
        <v>4.0</v>
      </c>
      <c r="J144" s="15">
        <v>3.0</v>
      </c>
      <c r="K144" s="15">
        <v>4.0</v>
      </c>
      <c r="L144" s="15">
        <v>2.0</v>
      </c>
      <c r="M144" s="15">
        <v>4.0</v>
      </c>
      <c r="N144" s="15">
        <v>2.0</v>
      </c>
      <c r="O144" s="15">
        <v>2.0</v>
      </c>
      <c r="P144" s="15">
        <v>2.0</v>
      </c>
      <c r="Q144" s="15" t="s">
        <v>64</v>
      </c>
      <c r="R144" s="15" t="s">
        <v>57</v>
      </c>
      <c r="S144" s="15" t="s">
        <v>83</v>
      </c>
      <c r="T144" s="22">
        <v>3.0</v>
      </c>
      <c r="U144" s="20">
        <f t="shared" si="9"/>
        <v>1</v>
      </c>
      <c r="V144" s="21" t="s">
        <v>72</v>
      </c>
      <c r="X144" s="15" t="s">
        <v>73</v>
      </c>
      <c r="Y144" s="15" t="s">
        <v>53</v>
      </c>
      <c r="Z144" s="15">
        <v>5.0</v>
      </c>
      <c r="AA144" s="15">
        <v>1.0</v>
      </c>
      <c r="AB144" s="15">
        <v>2.0</v>
      </c>
      <c r="AC144" s="15">
        <v>4.0</v>
      </c>
      <c r="AD144" s="15">
        <v>3.0</v>
      </c>
      <c r="AE144" s="15">
        <v>4.0</v>
      </c>
      <c r="AF144" s="15">
        <v>2.0</v>
      </c>
      <c r="AG144" s="15">
        <v>4.0</v>
      </c>
      <c r="AH144" s="15">
        <v>2.0</v>
      </c>
      <c r="AI144" s="15">
        <v>2.0</v>
      </c>
      <c r="AJ144" s="15">
        <v>2.0</v>
      </c>
      <c r="AN144" s="15">
        <v>3.0</v>
      </c>
      <c r="AO144" s="19" t="s">
        <v>72</v>
      </c>
      <c r="AP144" s="15">
        <v>16.0</v>
      </c>
      <c r="AQ144" s="15" t="s">
        <v>67</v>
      </c>
      <c r="AR144" s="15" t="s">
        <v>60</v>
      </c>
      <c r="AS144" s="15" t="s">
        <v>109</v>
      </c>
      <c r="AT144" s="15" t="s">
        <v>309</v>
      </c>
      <c r="AU144" s="15" t="s">
        <v>310</v>
      </c>
      <c r="AV144" s="15" t="s">
        <v>129</v>
      </c>
    </row>
    <row r="145">
      <c r="A145" s="14">
        <v>45068.8426887963</v>
      </c>
      <c r="B145" s="15" t="s">
        <v>53</v>
      </c>
      <c r="C145" s="15" t="s">
        <v>53</v>
      </c>
      <c r="D145" s="15" t="s">
        <v>65</v>
      </c>
      <c r="E145" s="15" t="s">
        <v>53</v>
      </c>
      <c r="F145" s="15">
        <v>4.0</v>
      </c>
      <c r="G145" s="15">
        <v>2.0</v>
      </c>
      <c r="H145" s="15">
        <v>2.0</v>
      </c>
      <c r="I145" s="15">
        <v>2.0</v>
      </c>
      <c r="J145" s="15">
        <v>3.0</v>
      </c>
      <c r="K145" s="15">
        <v>3.0</v>
      </c>
      <c r="L145" s="15">
        <v>2.0</v>
      </c>
      <c r="M145" s="15">
        <v>2.0</v>
      </c>
      <c r="N145" s="15">
        <v>2.0</v>
      </c>
      <c r="O145" s="15">
        <v>2.0</v>
      </c>
      <c r="P145" s="15">
        <v>3.0</v>
      </c>
      <c r="Q145" s="15" t="s">
        <v>92</v>
      </c>
      <c r="R145" s="15" t="s">
        <v>57</v>
      </c>
      <c r="S145" s="15" t="s">
        <v>64</v>
      </c>
      <c r="T145" s="22">
        <v>4.0</v>
      </c>
      <c r="U145" s="17">
        <v>-1.0</v>
      </c>
      <c r="V145" s="18">
        <v>-1.0</v>
      </c>
      <c r="W145" s="15" t="s">
        <v>185</v>
      </c>
      <c r="Y145" s="15" t="s">
        <v>53</v>
      </c>
      <c r="Z145" s="15">
        <v>4.0</v>
      </c>
      <c r="AA145" s="15">
        <v>2.0</v>
      </c>
      <c r="AB145" s="15">
        <v>2.0</v>
      </c>
      <c r="AC145" s="15">
        <v>2.0</v>
      </c>
      <c r="AD145" s="15">
        <v>3.0</v>
      </c>
      <c r="AE145" s="15">
        <v>3.0</v>
      </c>
      <c r="AF145" s="15">
        <v>2.0</v>
      </c>
      <c r="AG145" s="15">
        <v>2.0</v>
      </c>
      <c r="AH145" s="15">
        <v>2.0</v>
      </c>
      <c r="AI145" s="15">
        <v>2.0</v>
      </c>
      <c r="AJ145" s="15">
        <v>3.0</v>
      </c>
      <c r="AN145" s="15">
        <v>4.0</v>
      </c>
      <c r="AO145" s="19">
        <v>-1.0</v>
      </c>
      <c r="AP145" s="15">
        <v>25.0</v>
      </c>
      <c r="AQ145" s="15" t="s">
        <v>67</v>
      </c>
      <c r="AR145" s="15" t="s">
        <v>60</v>
      </c>
      <c r="AS145" s="15" t="s">
        <v>140</v>
      </c>
      <c r="AT145" s="15" t="s">
        <v>69</v>
      </c>
      <c r="AU145" s="15" t="s">
        <v>311</v>
      </c>
    </row>
    <row r="146">
      <c r="A146" s="14">
        <v>45068.843798842594</v>
      </c>
      <c r="B146" s="15" t="s">
        <v>53</v>
      </c>
      <c r="C146" s="15" t="s">
        <v>53</v>
      </c>
      <c r="D146" s="15" t="s">
        <v>104</v>
      </c>
      <c r="E146" s="15" t="s">
        <v>53</v>
      </c>
      <c r="F146" s="15">
        <v>5.0</v>
      </c>
      <c r="G146" s="15">
        <v>2.0</v>
      </c>
      <c r="H146" s="15">
        <v>2.0</v>
      </c>
      <c r="I146" s="15">
        <v>3.0</v>
      </c>
      <c r="J146" s="15">
        <v>3.0</v>
      </c>
      <c r="K146" s="15">
        <v>5.0</v>
      </c>
      <c r="L146" s="15">
        <v>2.0</v>
      </c>
      <c r="M146" s="15">
        <v>3.0</v>
      </c>
      <c r="N146" s="15">
        <v>3.0</v>
      </c>
      <c r="O146" s="15">
        <v>3.0</v>
      </c>
      <c r="P146" s="15">
        <v>3.0</v>
      </c>
      <c r="Q146" s="15" t="s">
        <v>55</v>
      </c>
      <c r="R146" s="15" t="s">
        <v>64</v>
      </c>
      <c r="S146" s="15" t="s">
        <v>57</v>
      </c>
      <c r="T146" s="22">
        <v>3.0</v>
      </c>
      <c r="U146" s="20">
        <f>+4</f>
        <v>4</v>
      </c>
      <c r="V146" s="21" t="s">
        <v>85</v>
      </c>
      <c r="X146" s="15" t="s">
        <v>73</v>
      </c>
      <c r="Y146" s="15" t="s">
        <v>53</v>
      </c>
      <c r="Z146" s="15">
        <v>5.0</v>
      </c>
      <c r="AA146" s="15">
        <v>2.0</v>
      </c>
      <c r="AB146" s="15">
        <v>2.0</v>
      </c>
      <c r="AC146" s="15">
        <v>3.0</v>
      </c>
      <c r="AD146" s="15">
        <v>3.0</v>
      </c>
      <c r="AE146" s="15">
        <v>5.0</v>
      </c>
      <c r="AF146" s="15">
        <v>2.0</v>
      </c>
      <c r="AG146" s="15">
        <v>3.0</v>
      </c>
      <c r="AH146" s="15">
        <v>3.0</v>
      </c>
      <c r="AI146" s="15">
        <v>3.0</v>
      </c>
      <c r="AJ146" s="15">
        <v>3.0</v>
      </c>
      <c r="AN146" s="15">
        <v>3.0</v>
      </c>
      <c r="AO146" s="19" t="s">
        <v>85</v>
      </c>
      <c r="AP146" s="15">
        <v>22.0</v>
      </c>
      <c r="AQ146" s="15" t="s">
        <v>67</v>
      </c>
      <c r="AR146" s="15" t="s">
        <v>60</v>
      </c>
      <c r="AS146" s="15" t="s">
        <v>61</v>
      </c>
      <c r="AT146" s="15" t="s">
        <v>69</v>
      </c>
      <c r="AU146" s="15" t="s">
        <v>312</v>
      </c>
    </row>
    <row r="147">
      <c r="A147" s="14">
        <v>45068.85026335648</v>
      </c>
      <c r="B147" s="15" t="s">
        <v>53</v>
      </c>
      <c r="C147" s="15" t="s">
        <v>53</v>
      </c>
      <c r="D147" s="15" t="s">
        <v>85</v>
      </c>
      <c r="E147" s="15" t="s">
        <v>53</v>
      </c>
      <c r="F147" s="15">
        <v>5.0</v>
      </c>
      <c r="G147" s="15">
        <v>3.0</v>
      </c>
      <c r="H147" s="15">
        <v>3.0</v>
      </c>
      <c r="I147" s="15">
        <v>4.0</v>
      </c>
      <c r="J147" s="15">
        <v>4.0</v>
      </c>
      <c r="K147" s="15">
        <v>4.0</v>
      </c>
      <c r="L147" s="15">
        <v>2.0</v>
      </c>
      <c r="M147" s="15">
        <v>4.0</v>
      </c>
      <c r="N147" s="15">
        <v>4.0</v>
      </c>
      <c r="O147" s="15">
        <v>4.0</v>
      </c>
      <c r="P147" s="15">
        <v>4.0</v>
      </c>
      <c r="Q147" s="15" t="s">
        <v>55</v>
      </c>
      <c r="R147" s="15" t="s">
        <v>92</v>
      </c>
      <c r="S147" s="15" t="s">
        <v>64</v>
      </c>
      <c r="T147" s="22">
        <v>4.0</v>
      </c>
      <c r="U147" s="17">
        <v>-1.0</v>
      </c>
      <c r="V147" s="18">
        <v>-1.0</v>
      </c>
      <c r="W147" s="15" t="s">
        <v>80</v>
      </c>
      <c r="Y147" s="15" t="s">
        <v>53</v>
      </c>
      <c r="Z147" s="15">
        <v>5.0</v>
      </c>
      <c r="AA147" s="15">
        <v>3.0</v>
      </c>
      <c r="AB147" s="15">
        <v>3.0</v>
      </c>
      <c r="AC147" s="15">
        <v>4.0</v>
      </c>
      <c r="AD147" s="15">
        <v>4.0</v>
      </c>
      <c r="AE147" s="15">
        <v>4.0</v>
      </c>
      <c r="AF147" s="15">
        <v>2.0</v>
      </c>
      <c r="AG147" s="15">
        <v>4.0</v>
      </c>
      <c r="AH147" s="15">
        <v>4.0</v>
      </c>
      <c r="AI147" s="15">
        <v>4.0</v>
      </c>
      <c r="AJ147" s="15">
        <v>4.0</v>
      </c>
      <c r="AN147" s="15">
        <v>4.0</v>
      </c>
      <c r="AO147" s="19">
        <v>-1.0</v>
      </c>
      <c r="AP147" s="15">
        <v>22.0</v>
      </c>
      <c r="AQ147" s="15" t="s">
        <v>67</v>
      </c>
      <c r="AR147" s="15" t="s">
        <v>60</v>
      </c>
      <c r="AS147" s="15" t="s">
        <v>61</v>
      </c>
      <c r="AT147" s="15" t="s">
        <v>81</v>
      </c>
      <c r="AU147" s="15" t="s">
        <v>313</v>
      </c>
    </row>
    <row r="148">
      <c r="A148" s="14">
        <v>45068.85572148148</v>
      </c>
      <c r="B148" s="15" t="s">
        <v>53</v>
      </c>
      <c r="C148" s="15" t="s">
        <v>53</v>
      </c>
      <c r="D148" s="15" t="s">
        <v>65</v>
      </c>
      <c r="E148" s="15" t="s">
        <v>53</v>
      </c>
      <c r="F148" s="15">
        <v>5.0</v>
      </c>
      <c r="G148" s="15">
        <v>1.0</v>
      </c>
      <c r="H148" s="15">
        <v>1.0</v>
      </c>
      <c r="I148" s="15">
        <v>3.0</v>
      </c>
      <c r="J148" s="15">
        <v>5.0</v>
      </c>
      <c r="K148" s="15">
        <v>2.0</v>
      </c>
      <c r="L148" s="15">
        <v>3.0</v>
      </c>
      <c r="M148" s="15">
        <v>1.0</v>
      </c>
      <c r="N148" s="15">
        <v>1.0</v>
      </c>
      <c r="O148" s="15">
        <v>2.0</v>
      </c>
      <c r="P148" s="15">
        <v>2.0</v>
      </c>
      <c r="Q148" s="15" t="s">
        <v>55</v>
      </c>
      <c r="R148" s="15" t="s">
        <v>64</v>
      </c>
      <c r="S148" s="15" t="s">
        <v>56</v>
      </c>
      <c r="T148" s="22">
        <v>3.0</v>
      </c>
      <c r="U148" s="17">
        <v>-2.0</v>
      </c>
      <c r="V148" s="18">
        <v>-2.0</v>
      </c>
      <c r="W148" s="15" t="s">
        <v>58</v>
      </c>
      <c r="Y148" s="15" t="s">
        <v>53</v>
      </c>
      <c r="Z148" s="15">
        <v>5.0</v>
      </c>
      <c r="AA148" s="15">
        <v>1.0</v>
      </c>
      <c r="AB148" s="15">
        <v>1.0</v>
      </c>
      <c r="AC148" s="15">
        <v>3.0</v>
      </c>
      <c r="AD148" s="15">
        <v>5.0</v>
      </c>
      <c r="AE148" s="15">
        <v>2.0</v>
      </c>
      <c r="AF148" s="15">
        <v>3.0</v>
      </c>
      <c r="AG148" s="15">
        <v>1.0</v>
      </c>
      <c r="AH148" s="15">
        <v>1.0</v>
      </c>
      <c r="AI148" s="15">
        <v>2.0</v>
      </c>
      <c r="AJ148" s="15">
        <v>2.0</v>
      </c>
      <c r="AN148" s="15">
        <v>3.0</v>
      </c>
      <c r="AO148" s="19">
        <v>-2.0</v>
      </c>
      <c r="AP148" s="15">
        <v>38.0</v>
      </c>
      <c r="AQ148" s="15" t="s">
        <v>67</v>
      </c>
      <c r="AR148" s="15" t="s">
        <v>60</v>
      </c>
      <c r="AS148" s="15" t="s">
        <v>61</v>
      </c>
      <c r="AT148" s="15" t="s">
        <v>105</v>
      </c>
      <c r="AU148" s="15" t="s">
        <v>314</v>
      </c>
      <c r="AV148" s="15" t="s">
        <v>315</v>
      </c>
    </row>
    <row r="149">
      <c r="A149" s="14">
        <v>45068.86332548611</v>
      </c>
      <c r="B149" s="15" t="s">
        <v>53</v>
      </c>
      <c r="C149" s="15" t="s">
        <v>53</v>
      </c>
      <c r="D149" s="15" t="s">
        <v>65</v>
      </c>
      <c r="E149" s="15" t="s">
        <v>53</v>
      </c>
      <c r="F149" s="15">
        <v>4.0</v>
      </c>
      <c r="G149" s="15">
        <v>2.0</v>
      </c>
      <c r="H149" s="15">
        <v>3.0</v>
      </c>
      <c r="I149" s="15">
        <v>4.0</v>
      </c>
      <c r="J149" s="15">
        <v>4.0</v>
      </c>
      <c r="K149" s="15">
        <v>4.0</v>
      </c>
      <c r="L149" s="15">
        <v>2.0</v>
      </c>
      <c r="M149" s="15">
        <v>3.0</v>
      </c>
      <c r="N149" s="15">
        <v>3.0</v>
      </c>
      <c r="O149" s="15">
        <v>2.0</v>
      </c>
      <c r="P149" s="15">
        <v>3.0</v>
      </c>
      <c r="Q149" s="15" t="s">
        <v>55</v>
      </c>
      <c r="R149" s="15" t="s">
        <v>86</v>
      </c>
      <c r="S149" s="15" t="s">
        <v>83</v>
      </c>
      <c r="T149" s="22">
        <v>4.0</v>
      </c>
      <c r="U149" s="20">
        <f>+4</f>
        <v>4</v>
      </c>
      <c r="V149" s="21" t="s">
        <v>85</v>
      </c>
      <c r="X149" s="15" t="s">
        <v>113</v>
      </c>
      <c r="Y149" s="15" t="s">
        <v>53</v>
      </c>
      <c r="Z149" s="15">
        <v>4.0</v>
      </c>
      <c r="AA149" s="15">
        <v>2.0</v>
      </c>
      <c r="AB149" s="15">
        <v>3.0</v>
      </c>
      <c r="AC149" s="15">
        <v>4.0</v>
      </c>
      <c r="AD149" s="15">
        <v>4.0</v>
      </c>
      <c r="AE149" s="15">
        <v>4.0</v>
      </c>
      <c r="AF149" s="15">
        <v>2.0</v>
      </c>
      <c r="AG149" s="15">
        <v>3.0</v>
      </c>
      <c r="AH149" s="15">
        <v>3.0</v>
      </c>
      <c r="AI149" s="15">
        <v>2.0</v>
      </c>
      <c r="AJ149" s="15">
        <v>3.0</v>
      </c>
      <c r="AN149" s="15">
        <v>4.0</v>
      </c>
      <c r="AO149" s="19" t="s">
        <v>85</v>
      </c>
      <c r="AP149" s="15">
        <v>24.0</v>
      </c>
      <c r="AQ149" s="15" t="s">
        <v>67</v>
      </c>
      <c r="AR149" s="15" t="s">
        <v>60</v>
      </c>
      <c r="AS149" s="15" t="s">
        <v>140</v>
      </c>
      <c r="AT149" s="15" t="s">
        <v>69</v>
      </c>
      <c r="AU149" s="15" t="s">
        <v>316</v>
      </c>
    </row>
    <row r="150">
      <c r="A150" s="14">
        <v>45068.866631365745</v>
      </c>
      <c r="B150" s="15" t="s">
        <v>53</v>
      </c>
      <c r="C150" s="15" t="s">
        <v>53</v>
      </c>
      <c r="D150" s="15" t="s">
        <v>85</v>
      </c>
      <c r="E150" s="15" t="s">
        <v>53</v>
      </c>
      <c r="F150" s="15">
        <v>4.0</v>
      </c>
      <c r="G150" s="15">
        <v>5.0</v>
      </c>
      <c r="H150" s="15">
        <v>2.0</v>
      </c>
      <c r="I150" s="15">
        <v>5.0</v>
      </c>
      <c r="J150" s="15">
        <v>5.0</v>
      </c>
      <c r="K150" s="15">
        <v>4.0</v>
      </c>
      <c r="L150" s="15">
        <v>1.0</v>
      </c>
      <c r="M150" s="15">
        <v>5.0</v>
      </c>
      <c r="N150" s="15">
        <v>4.0</v>
      </c>
      <c r="O150" s="15">
        <v>5.0</v>
      </c>
      <c r="P150" s="15">
        <v>4.0</v>
      </c>
      <c r="Q150" s="15" t="s">
        <v>55</v>
      </c>
      <c r="R150" s="15" t="s">
        <v>64</v>
      </c>
      <c r="S150" s="15" t="s">
        <v>83</v>
      </c>
      <c r="T150" s="22">
        <v>5.0</v>
      </c>
      <c r="U150" s="17">
        <v>-2.0</v>
      </c>
      <c r="V150" s="18">
        <v>-2.0</v>
      </c>
      <c r="W150" s="15" t="s">
        <v>58</v>
      </c>
      <c r="Y150" s="15" t="s">
        <v>53</v>
      </c>
      <c r="Z150" s="15">
        <v>4.0</v>
      </c>
      <c r="AA150" s="15">
        <v>5.0</v>
      </c>
      <c r="AB150" s="15">
        <v>2.0</v>
      </c>
      <c r="AC150" s="15">
        <v>5.0</v>
      </c>
      <c r="AD150" s="15">
        <v>5.0</v>
      </c>
      <c r="AE150" s="15">
        <v>4.0</v>
      </c>
      <c r="AF150" s="15">
        <v>1.0</v>
      </c>
      <c r="AG150" s="15">
        <v>5.0</v>
      </c>
      <c r="AH150" s="15">
        <v>4.0</v>
      </c>
      <c r="AI150" s="15">
        <v>5.0</v>
      </c>
      <c r="AJ150" s="15">
        <v>4.0</v>
      </c>
      <c r="AN150" s="15">
        <v>5.0</v>
      </c>
      <c r="AO150" s="19">
        <v>-2.0</v>
      </c>
      <c r="AP150" s="15">
        <v>32.0</v>
      </c>
      <c r="AQ150" s="15" t="s">
        <v>59</v>
      </c>
      <c r="AR150" s="15" t="s">
        <v>98</v>
      </c>
      <c r="AS150" s="15" t="s">
        <v>61</v>
      </c>
      <c r="AT150" s="15" t="s">
        <v>125</v>
      </c>
      <c r="AU150" s="15" t="s">
        <v>317</v>
      </c>
    </row>
    <row r="151">
      <c r="A151" s="14">
        <v>45068.8812688426</v>
      </c>
      <c r="B151" s="15" t="s">
        <v>53</v>
      </c>
      <c r="C151" s="15" t="s">
        <v>53</v>
      </c>
      <c r="D151" s="15" t="s">
        <v>54</v>
      </c>
      <c r="E151" s="15" t="s">
        <v>53</v>
      </c>
      <c r="F151" s="15">
        <v>4.0</v>
      </c>
      <c r="G151" s="15">
        <v>2.0</v>
      </c>
      <c r="H151" s="15">
        <v>2.0</v>
      </c>
      <c r="I151" s="15">
        <v>4.0</v>
      </c>
      <c r="J151" s="15">
        <v>4.0</v>
      </c>
      <c r="K151" s="15">
        <v>3.0</v>
      </c>
      <c r="L151" s="15">
        <v>3.0</v>
      </c>
      <c r="M151" s="15">
        <v>3.0</v>
      </c>
      <c r="N151" s="15">
        <v>3.0</v>
      </c>
      <c r="O151" s="15">
        <v>3.0</v>
      </c>
      <c r="P151" s="15">
        <v>3.0</v>
      </c>
      <c r="Q151" s="15" t="s">
        <v>92</v>
      </c>
      <c r="R151" s="15" t="s">
        <v>64</v>
      </c>
      <c r="S151" s="15" t="s">
        <v>55</v>
      </c>
      <c r="T151" s="22">
        <v>2.0</v>
      </c>
      <c r="U151" s="20">
        <f>+2</f>
        <v>2</v>
      </c>
      <c r="V151" s="21" t="s">
        <v>65</v>
      </c>
      <c r="X151" s="15" t="s">
        <v>73</v>
      </c>
      <c r="Y151" s="15" t="s">
        <v>53</v>
      </c>
      <c r="Z151" s="15">
        <v>4.0</v>
      </c>
      <c r="AA151" s="15">
        <v>2.0</v>
      </c>
      <c r="AB151" s="15">
        <v>2.0</v>
      </c>
      <c r="AC151" s="15">
        <v>4.0</v>
      </c>
      <c r="AD151" s="15">
        <v>4.0</v>
      </c>
      <c r="AE151" s="15">
        <v>3.0</v>
      </c>
      <c r="AF151" s="15">
        <v>3.0</v>
      </c>
      <c r="AG151" s="15">
        <v>3.0</v>
      </c>
      <c r="AH151" s="15">
        <v>3.0</v>
      </c>
      <c r="AI151" s="15">
        <v>3.0</v>
      </c>
      <c r="AJ151" s="15">
        <v>3.0</v>
      </c>
      <c r="AN151" s="15">
        <v>2.0</v>
      </c>
      <c r="AO151" s="19" t="s">
        <v>65</v>
      </c>
      <c r="AP151" s="15">
        <v>43.0</v>
      </c>
      <c r="AQ151" s="15" t="s">
        <v>59</v>
      </c>
      <c r="AR151" s="15" t="s">
        <v>60</v>
      </c>
      <c r="AS151" s="15" t="s">
        <v>61</v>
      </c>
      <c r="AT151" s="15" t="s">
        <v>225</v>
      </c>
      <c r="AU151" s="15" t="s">
        <v>318</v>
      </c>
    </row>
    <row r="152">
      <c r="A152" s="14">
        <v>45068.88163780092</v>
      </c>
      <c r="B152" s="15" t="s">
        <v>53</v>
      </c>
      <c r="C152" s="15" t="s">
        <v>53</v>
      </c>
      <c r="D152" s="15" t="s">
        <v>85</v>
      </c>
      <c r="E152" s="15" t="s">
        <v>53</v>
      </c>
      <c r="F152" s="15">
        <v>5.0</v>
      </c>
      <c r="G152" s="15">
        <v>1.0</v>
      </c>
      <c r="H152" s="15">
        <v>1.0</v>
      </c>
      <c r="I152" s="15">
        <v>3.0</v>
      </c>
      <c r="J152" s="15">
        <v>4.0</v>
      </c>
      <c r="K152" s="15">
        <v>2.0</v>
      </c>
      <c r="L152" s="15">
        <v>2.0</v>
      </c>
      <c r="M152" s="15">
        <v>4.0</v>
      </c>
      <c r="N152" s="15">
        <v>3.0</v>
      </c>
      <c r="O152" s="15">
        <v>2.0</v>
      </c>
      <c r="P152" s="15">
        <v>3.0</v>
      </c>
      <c r="Q152" s="15" t="s">
        <v>64</v>
      </c>
      <c r="R152" s="15" t="s">
        <v>86</v>
      </c>
      <c r="S152" s="15" t="s">
        <v>57</v>
      </c>
      <c r="T152" s="22">
        <v>2.0</v>
      </c>
      <c r="U152" s="20">
        <f>+3</f>
        <v>3</v>
      </c>
      <c r="V152" s="21" t="s">
        <v>54</v>
      </c>
      <c r="X152" s="15" t="s">
        <v>113</v>
      </c>
      <c r="Y152" s="15" t="s">
        <v>53</v>
      </c>
      <c r="Z152" s="15">
        <v>5.0</v>
      </c>
      <c r="AA152" s="15">
        <v>1.0</v>
      </c>
      <c r="AB152" s="15">
        <v>1.0</v>
      </c>
      <c r="AC152" s="15">
        <v>3.0</v>
      </c>
      <c r="AD152" s="15">
        <v>4.0</v>
      </c>
      <c r="AE152" s="15">
        <v>2.0</v>
      </c>
      <c r="AF152" s="15">
        <v>2.0</v>
      </c>
      <c r="AG152" s="15">
        <v>4.0</v>
      </c>
      <c r="AH152" s="15">
        <v>3.0</v>
      </c>
      <c r="AI152" s="15">
        <v>2.0</v>
      </c>
      <c r="AJ152" s="15">
        <v>3.0</v>
      </c>
      <c r="AN152" s="15">
        <v>2.0</v>
      </c>
      <c r="AO152" s="19" t="s">
        <v>54</v>
      </c>
      <c r="AP152" s="15">
        <v>36.0</v>
      </c>
      <c r="AQ152" s="15" t="s">
        <v>67</v>
      </c>
      <c r="AR152" s="15" t="s">
        <v>120</v>
      </c>
      <c r="AS152" s="15" t="s">
        <v>140</v>
      </c>
      <c r="AT152" s="15" t="s">
        <v>110</v>
      </c>
      <c r="AU152" s="15" t="s">
        <v>319</v>
      </c>
      <c r="AV152" s="15" t="s">
        <v>320</v>
      </c>
    </row>
    <row r="153">
      <c r="A153" s="14">
        <v>45068.88716751157</v>
      </c>
      <c r="B153" s="15" t="s">
        <v>53</v>
      </c>
      <c r="C153" s="15" t="s">
        <v>53</v>
      </c>
      <c r="D153" s="15">
        <v>-4.0</v>
      </c>
      <c r="E153" s="15" t="s">
        <v>53</v>
      </c>
      <c r="F153" s="15">
        <v>3.0</v>
      </c>
      <c r="G153" s="15">
        <v>3.0</v>
      </c>
      <c r="H153" s="15">
        <v>3.0</v>
      </c>
      <c r="I153" s="15">
        <v>5.0</v>
      </c>
      <c r="J153" s="15">
        <v>2.0</v>
      </c>
      <c r="K153" s="15">
        <v>4.0</v>
      </c>
      <c r="L153" s="15">
        <v>1.0</v>
      </c>
      <c r="M153" s="15">
        <v>3.0</v>
      </c>
      <c r="N153" s="15">
        <v>3.0</v>
      </c>
      <c r="O153" s="15">
        <v>3.0</v>
      </c>
      <c r="P153" s="15">
        <v>3.0</v>
      </c>
      <c r="Q153" s="15" t="s">
        <v>55</v>
      </c>
      <c r="R153" s="15" t="s">
        <v>57</v>
      </c>
      <c r="S153" s="15" t="s">
        <v>86</v>
      </c>
      <c r="T153" s="23">
        <v>5.0</v>
      </c>
      <c r="U153" s="24">
        <v>-2.0</v>
      </c>
      <c r="V153" s="25"/>
      <c r="W153" s="15" t="s">
        <v>80</v>
      </c>
      <c r="AO153" s="26"/>
      <c r="AP153" s="15">
        <v>21.0</v>
      </c>
      <c r="AQ153" s="15" t="s">
        <v>67</v>
      </c>
      <c r="AR153" s="15" t="s">
        <v>60</v>
      </c>
      <c r="AS153" s="15" t="s">
        <v>61</v>
      </c>
      <c r="AT153" s="15" t="s">
        <v>78</v>
      </c>
      <c r="AU153" s="15" t="s">
        <v>321</v>
      </c>
    </row>
    <row r="154">
      <c r="A154" s="14">
        <v>45068.88832943287</v>
      </c>
      <c r="B154" s="15" t="s">
        <v>53</v>
      </c>
      <c r="C154" s="15" t="s">
        <v>53</v>
      </c>
      <c r="D154" s="15" t="s">
        <v>65</v>
      </c>
      <c r="E154" s="15" t="s">
        <v>53</v>
      </c>
      <c r="F154" s="15">
        <v>4.0</v>
      </c>
      <c r="G154" s="15">
        <v>2.0</v>
      </c>
      <c r="H154" s="15">
        <v>3.0</v>
      </c>
      <c r="I154" s="15">
        <v>5.0</v>
      </c>
      <c r="J154" s="15">
        <v>3.0</v>
      </c>
      <c r="K154" s="15">
        <v>5.0</v>
      </c>
      <c r="L154" s="15">
        <v>1.0</v>
      </c>
      <c r="M154" s="15">
        <v>3.0</v>
      </c>
      <c r="N154" s="15">
        <v>4.0</v>
      </c>
      <c r="O154" s="15">
        <v>4.0</v>
      </c>
      <c r="P154" s="15">
        <v>4.0</v>
      </c>
      <c r="Q154" s="15" t="s">
        <v>55</v>
      </c>
      <c r="R154" s="15" t="s">
        <v>83</v>
      </c>
      <c r="S154" s="15" t="s">
        <v>57</v>
      </c>
      <c r="T154" s="22">
        <v>4.0</v>
      </c>
      <c r="U154" s="17">
        <v>-2.0</v>
      </c>
      <c r="V154" s="18">
        <v>-2.0</v>
      </c>
      <c r="W154" s="15" t="s">
        <v>58</v>
      </c>
      <c r="Y154" s="15" t="s">
        <v>53</v>
      </c>
      <c r="Z154" s="15">
        <v>4.0</v>
      </c>
      <c r="AA154" s="15">
        <v>2.0</v>
      </c>
      <c r="AB154" s="15">
        <v>3.0</v>
      </c>
      <c r="AC154" s="15">
        <v>5.0</v>
      </c>
      <c r="AD154" s="15">
        <v>3.0</v>
      </c>
      <c r="AE154" s="15">
        <v>5.0</v>
      </c>
      <c r="AF154" s="15">
        <v>1.0</v>
      </c>
      <c r="AG154" s="15">
        <v>3.0</v>
      </c>
      <c r="AH154" s="15">
        <v>4.0</v>
      </c>
      <c r="AI154" s="15">
        <v>4.0</v>
      </c>
      <c r="AJ154" s="15">
        <v>4.0</v>
      </c>
      <c r="AN154" s="15">
        <v>4.0</v>
      </c>
      <c r="AO154" s="19">
        <v>-2.0</v>
      </c>
      <c r="AP154" s="15">
        <v>19.0</v>
      </c>
      <c r="AQ154" s="15" t="s">
        <v>67</v>
      </c>
      <c r="AR154" s="15" t="s">
        <v>60</v>
      </c>
      <c r="AS154" s="15" t="s">
        <v>61</v>
      </c>
      <c r="AT154" s="15" t="s">
        <v>78</v>
      </c>
      <c r="AU154" s="15" t="s">
        <v>322</v>
      </c>
    </row>
    <row r="155">
      <c r="A155" s="14">
        <v>45068.89018288194</v>
      </c>
      <c r="B155" s="15" t="s">
        <v>53</v>
      </c>
      <c r="C155" s="15" t="s">
        <v>53</v>
      </c>
      <c r="D155" s="15" t="s">
        <v>104</v>
      </c>
      <c r="E155" s="15" t="s">
        <v>53</v>
      </c>
      <c r="F155" s="15">
        <v>2.0</v>
      </c>
      <c r="G155" s="15">
        <v>4.0</v>
      </c>
      <c r="H155" s="15">
        <v>4.0</v>
      </c>
      <c r="I155" s="15">
        <v>2.0</v>
      </c>
      <c r="J155" s="15">
        <v>2.0</v>
      </c>
      <c r="K155" s="15">
        <v>5.0</v>
      </c>
      <c r="L155" s="15">
        <v>2.0</v>
      </c>
      <c r="M155" s="15">
        <v>4.0</v>
      </c>
      <c r="N155" s="15">
        <v>4.0</v>
      </c>
      <c r="O155" s="15">
        <v>4.0</v>
      </c>
      <c r="P155" s="15">
        <v>4.0</v>
      </c>
      <c r="Q155" s="15" t="s">
        <v>55</v>
      </c>
      <c r="R155" s="15" t="s">
        <v>64</v>
      </c>
      <c r="S155" s="15" t="s">
        <v>56</v>
      </c>
      <c r="T155" s="22">
        <v>3.0</v>
      </c>
      <c r="U155" s="20">
        <f>+1</f>
        <v>1</v>
      </c>
      <c r="V155" s="21" t="s">
        <v>72</v>
      </c>
      <c r="X155" s="15" t="s">
        <v>66</v>
      </c>
      <c r="Y155" s="15" t="s">
        <v>53</v>
      </c>
      <c r="Z155" s="15">
        <v>2.0</v>
      </c>
      <c r="AA155" s="15">
        <v>4.0</v>
      </c>
      <c r="AB155" s="15">
        <v>4.0</v>
      </c>
      <c r="AC155" s="15">
        <v>2.0</v>
      </c>
      <c r="AD155" s="15">
        <v>2.0</v>
      </c>
      <c r="AE155" s="15">
        <v>5.0</v>
      </c>
      <c r="AF155" s="15">
        <v>2.0</v>
      </c>
      <c r="AG155" s="15">
        <v>4.0</v>
      </c>
      <c r="AH155" s="15">
        <v>4.0</v>
      </c>
      <c r="AI155" s="15">
        <v>4.0</v>
      </c>
      <c r="AJ155" s="15">
        <v>4.0</v>
      </c>
      <c r="AN155" s="15">
        <v>3.0</v>
      </c>
      <c r="AO155" s="19" t="s">
        <v>72</v>
      </c>
      <c r="AP155" s="15">
        <v>19.0</v>
      </c>
      <c r="AQ155" s="15" t="s">
        <v>59</v>
      </c>
      <c r="AR155" s="15" t="s">
        <v>154</v>
      </c>
      <c r="AS155" s="15" t="s">
        <v>61</v>
      </c>
      <c r="AT155" s="15" t="s">
        <v>69</v>
      </c>
      <c r="AU155" s="15" t="s">
        <v>323</v>
      </c>
      <c r="AV155" s="15" t="s">
        <v>308</v>
      </c>
    </row>
    <row r="156">
      <c r="A156" s="14">
        <v>45068.89090416666</v>
      </c>
      <c r="B156" s="15" t="s">
        <v>53</v>
      </c>
      <c r="C156" s="15" t="s">
        <v>53</v>
      </c>
      <c r="D156" s="15">
        <v>-2.0</v>
      </c>
      <c r="E156" s="15" t="s">
        <v>53</v>
      </c>
      <c r="F156" s="15">
        <v>4.0</v>
      </c>
      <c r="G156" s="15">
        <v>3.0</v>
      </c>
      <c r="H156" s="15">
        <v>2.0</v>
      </c>
      <c r="I156" s="15">
        <v>4.0</v>
      </c>
      <c r="J156" s="15">
        <v>4.0</v>
      </c>
      <c r="K156" s="15">
        <v>3.0</v>
      </c>
      <c r="L156" s="15">
        <v>1.0</v>
      </c>
      <c r="M156" s="15">
        <v>3.0</v>
      </c>
      <c r="N156" s="15">
        <v>3.0</v>
      </c>
      <c r="O156" s="15">
        <v>3.0</v>
      </c>
      <c r="P156" s="15">
        <v>3.0</v>
      </c>
      <c r="Q156" s="15" t="s">
        <v>55</v>
      </c>
      <c r="R156" s="15" t="s">
        <v>57</v>
      </c>
      <c r="S156" s="15" t="s">
        <v>86</v>
      </c>
      <c r="T156" s="23">
        <v>4.0</v>
      </c>
      <c r="U156" s="24">
        <f>+2</f>
        <v>2</v>
      </c>
      <c r="V156" s="21"/>
      <c r="X156" s="15" t="s">
        <v>77</v>
      </c>
      <c r="AO156" s="26"/>
      <c r="AP156" s="15">
        <v>19.0</v>
      </c>
      <c r="AQ156" s="15" t="s">
        <v>67</v>
      </c>
      <c r="AR156" s="15" t="s">
        <v>68</v>
      </c>
      <c r="AS156" s="15" t="s">
        <v>61</v>
      </c>
      <c r="AT156" s="15" t="s">
        <v>193</v>
      </c>
      <c r="AU156" s="15" t="s">
        <v>324</v>
      </c>
    </row>
    <row r="157">
      <c r="A157" s="14">
        <v>45068.893079016205</v>
      </c>
      <c r="B157" s="15" t="s">
        <v>53</v>
      </c>
      <c r="C157" s="15" t="s">
        <v>53</v>
      </c>
      <c r="D157" s="15">
        <v>-5.0</v>
      </c>
      <c r="E157" s="15" t="s">
        <v>53</v>
      </c>
      <c r="F157" s="15">
        <v>1.0</v>
      </c>
      <c r="G157" s="15">
        <v>5.0</v>
      </c>
      <c r="H157" s="15">
        <v>5.0</v>
      </c>
      <c r="I157" s="15">
        <v>5.0</v>
      </c>
      <c r="J157" s="15">
        <v>2.0</v>
      </c>
      <c r="K157" s="15">
        <v>3.0</v>
      </c>
      <c r="L157" s="15">
        <v>3.0</v>
      </c>
      <c r="M157" s="15">
        <v>3.0</v>
      </c>
      <c r="N157" s="15">
        <v>3.0</v>
      </c>
      <c r="O157" s="15">
        <v>3.0</v>
      </c>
      <c r="P157" s="15">
        <v>3.0</v>
      </c>
      <c r="Q157" s="15" t="s">
        <v>55</v>
      </c>
      <c r="R157" s="15" t="s">
        <v>107</v>
      </c>
      <c r="S157" s="15" t="s">
        <v>83</v>
      </c>
      <c r="T157" s="23">
        <v>4.0</v>
      </c>
      <c r="U157" s="24">
        <v>-3.0</v>
      </c>
      <c r="V157" s="25"/>
      <c r="W157" s="15" t="s">
        <v>325</v>
      </c>
      <c r="AO157" s="26"/>
      <c r="AP157" s="15">
        <v>22.0</v>
      </c>
      <c r="AQ157" s="15" t="s">
        <v>59</v>
      </c>
      <c r="AR157" s="15" t="s">
        <v>60</v>
      </c>
      <c r="AS157" s="15" t="s">
        <v>61</v>
      </c>
      <c r="AT157" s="15" t="s">
        <v>326</v>
      </c>
      <c r="AU157" s="15" t="s">
        <v>327</v>
      </c>
    </row>
    <row r="158">
      <c r="A158" s="14">
        <v>45068.89414004629</v>
      </c>
      <c r="B158" s="15" t="s">
        <v>53</v>
      </c>
      <c r="C158" s="15" t="s">
        <v>53</v>
      </c>
      <c r="D158" s="15">
        <v>-5.0</v>
      </c>
      <c r="E158" s="15" t="s">
        <v>53</v>
      </c>
      <c r="F158" s="15">
        <v>1.0</v>
      </c>
      <c r="G158" s="15">
        <v>5.0</v>
      </c>
      <c r="H158" s="15">
        <v>5.0</v>
      </c>
      <c r="I158" s="15">
        <v>5.0</v>
      </c>
      <c r="J158" s="15">
        <v>1.0</v>
      </c>
      <c r="K158" s="15">
        <v>4.0</v>
      </c>
      <c r="L158" s="15">
        <v>1.0</v>
      </c>
      <c r="M158" s="15">
        <v>2.0</v>
      </c>
      <c r="N158" s="15">
        <v>2.0</v>
      </c>
      <c r="O158" s="15">
        <v>2.0</v>
      </c>
      <c r="P158" s="15">
        <v>2.0</v>
      </c>
      <c r="Q158" s="15" t="s">
        <v>55</v>
      </c>
      <c r="R158" s="15" t="s">
        <v>107</v>
      </c>
      <c r="S158" s="15" t="s">
        <v>92</v>
      </c>
      <c r="T158" s="23">
        <v>5.0</v>
      </c>
      <c r="U158" s="24">
        <v>-3.0</v>
      </c>
      <c r="V158" s="25"/>
      <c r="W158" s="15" t="s">
        <v>58</v>
      </c>
      <c r="AO158" s="26"/>
      <c r="AP158" s="15">
        <v>19.0</v>
      </c>
      <c r="AQ158" s="15" t="s">
        <v>67</v>
      </c>
      <c r="AR158" s="15" t="s">
        <v>120</v>
      </c>
      <c r="AS158" s="15" t="s">
        <v>61</v>
      </c>
      <c r="AT158" s="15" t="s">
        <v>105</v>
      </c>
      <c r="AU158" s="15" t="s">
        <v>328</v>
      </c>
    </row>
    <row r="159">
      <c r="A159" s="14">
        <v>45068.89870579861</v>
      </c>
      <c r="B159" s="15" t="s">
        <v>53</v>
      </c>
      <c r="C159" s="15" t="s">
        <v>53</v>
      </c>
      <c r="D159" s="15">
        <v>-5.0</v>
      </c>
      <c r="E159" s="15" t="s">
        <v>53</v>
      </c>
      <c r="F159" s="15">
        <v>1.0</v>
      </c>
      <c r="G159" s="15">
        <v>5.0</v>
      </c>
      <c r="H159" s="15">
        <v>5.0</v>
      </c>
      <c r="I159" s="15">
        <v>5.0</v>
      </c>
      <c r="J159" s="15">
        <v>1.0</v>
      </c>
      <c r="K159" s="15">
        <v>5.0</v>
      </c>
      <c r="L159" s="15">
        <v>1.0</v>
      </c>
      <c r="M159" s="15">
        <v>5.0</v>
      </c>
      <c r="N159" s="15">
        <v>5.0</v>
      </c>
      <c r="O159" s="15">
        <v>5.0</v>
      </c>
      <c r="P159" s="15">
        <v>5.0</v>
      </c>
      <c r="Q159" s="15" t="s">
        <v>55</v>
      </c>
      <c r="R159" s="15" t="s">
        <v>64</v>
      </c>
      <c r="S159" s="15" t="s">
        <v>92</v>
      </c>
      <c r="T159" s="23">
        <v>3.0</v>
      </c>
      <c r="U159" s="24">
        <v>-5.0</v>
      </c>
      <c r="V159" s="25"/>
      <c r="W159" s="15" t="s">
        <v>102</v>
      </c>
      <c r="AO159" s="26"/>
      <c r="AP159" s="15">
        <v>20.0</v>
      </c>
      <c r="AQ159" s="15" t="s">
        <v>59</v>
      </c>
      <c r="AR159" s="15" t="s">
        <v>120</v>
      </c>
      <c r="AS159" s="15" t="s">
        <v>61</v>
      </c>
      <c r="AT159" s="15" t="s">
        <v>69</v>
      </c>
      <c r="AU159" s="15" t="s">
        <v>329</v>
      </c>
    </row>
    <row r="160">
      <c r="A160" s="14">
        <v>45068.899461875</v>
      </c>
      <c r="B160" s="15" t="s">
        <v>53</v>
      </c>
      <c r="C160" s="15" t="s">
        <v>53</v>
      </c>
      <c r="D160" s="15">
        <v>-4.0</v>
      </c>
      <c r="E160" s="15" t="s">
        <v>53</v>
      </c>
      <c r="F160" s="15">
        <v>3.0</v>
      </c>
      <c r="G160" s="15">
        <v>2.0</v>
      </c>
      <c r="H160" s="15">
        <v>1.0</v>
      </c>
      <c r="I160" s="15">
        <v>3.0</v>
      </c>
      <c r="J160" s="15">
        <v>3.0</v>
      </c>
      <c r="K160" s="15">
        <v>4.0</v>
      </c>
      <c r="L160" s="15">
        <v>2.0</v>
      </c>
      <c r="M160" s="15">
        <v>3.0</v>
      </c>
      <c r="N160" s="15">
        <v>2.0</v>
      </c>
      <c r="O160" s="15">
        <v>3.0</v>
      </c>
      <c r="P160" s="15">
        <v>2.0</v>
      </c>
      <c r="Q160" s="15" t="s">
        <v>57</v>
      </c>
      <c r="R160" s="15" t="s">
        <v>56</v>
      </c>
      <c r="S160" s="15" t="s">
        <v>64</v>
      </c>
      <c r="T160" s="23">
        <v>2.0</v>
      </c>
      <c r="U160" s="24">
        <v>-2.0</v>
      </c>
      <c r="V160" s="25"/>
      <c r="W160" s="15" t="s">
        <v>102</v>
      </c>
      <c r="AO160" s="26"/>
      <c r="AP160" s="15">
        <v>25.0</v>
      </c>
      <c r="AQ160" s="15" t="s">
        <v>59</v>
      </c>
      <c r="AR160" s="15" t="s">
        <v>162</v>
      </c>
      <c r="AS160" s="15" t="s">
        <v>61</v>
      </c>
      <c r="AT160" s="15" t="s">
        <v>330</v>
      </c>
      <c r="AU160" s="15" t="s">
        <v>331</v>
      </c>
      <c r="AV160" s="15" t="s">
        <v>332</v>
      </c>
    </row>
    <row r="161">
      <c r="A161" s="14">
        <v>45068.89954371528</v>
      </c>
      <c r="B161" s="15" t="s">
        <v>53</v>
      </c>
      <c r="C161" s="15" t="s">
        <v>97</v>
      </c>
      <c r="D161" s="15">
        <v>-5.0</v>
      </c>
      <c r="E161" s="15" t="s">
        <v>97</v>
      </c>
      <c r="F161" s="15">
        <v>2.0</v>
      </c>
      <c r="G161" s="15">
        <v>5.0</v>
      </c>
      <c r="H161" s="15">
        <v>5.0</v>
      </c>
      <c r="I161" s="15">
        <v>5.0</v>
      </c>
      <c r="J161" s="15">
        <v>1.0</v>
      </c>
      <c r="K161" s="15">
        <v>4.0</v>
      </c>
      <c r="L161" s="15">
        <v>2.0</v>
      </c>
      <c r="M161" s="15">
        <v>5.0</v>
      </c>
      <c r="N161" s="15">
        <v>5.0</v>
      </c>
      <c r="O161" s="15">
        <v>5.0</v>
      </c>
      <c r="P161" s="15">
        <v>5.0</v>
      </c>
      <c r="Q161" s="15" t="s">
        <v>55</v>
      </c>
      <c r="R161" s="15" t="s">
        <v>107</v>
      </c>
      <c r="S161" s="15" t="s">
        <v>83</v>
      </c>
      <c r="T161" s="23">
        <v>5.0</v>
      </c>
      <c r="U161" s="24">
        <v>-4.0</v>
      </c>
      <c r="V161" s="25"/>
      <c r="W161" s="15" t="s">
        <v>102</v>
      </c>
      <c r="AO161" s="26"/>
      <c r="AP161" s="15">
        <v>21.0</v>
      </c>
      <c r="AQ161" s="15" t="s">
        <v>59</v>
      </c>
      <c r="AR161" s="15" t="s">
        <v>120</v>
      </c>
      <c r="AS161" s="15" t="s">
        <v>61</v>
      </c>
      <c r="AT161" s="15" t="s">
        <v>333</v>
      </c>
      <c r="AU161" s="15" t="s">
        <v>334</v>
      </c>
    </row>
    <row r="162">
      <c r="A162" s="14">
        <v>45068.900386203706</v>
      </c>
      <c r="B162" s="15" t="s">
        <v>53</v>
      </c>
      <c r="C162" s="15" t="s">
        <v>53</v>
      </c>
      <c r="D162" s="15">
        <v>-5.0</v>
      </c>
      <c r="E162" s="15" t="s">
        <v>53</v>
      </c>
      <c r="F162" s="15">
        <v>1.0</v>
      </c>
      <c r="G162" s="15">
        <v>5.0</v>
      </c>
      <c r="H162" s="15">
        <v>5.0</v>
      </c>
      <c r="I162" s="15">
        <v>5.0</v>
      </c>
      <c r="J162" s="15">
        <v>1.0</v>
      </c>
      <c r="K162" s="15">
        <v>3.0</v>
      </c>
      <c r="L162" s="15">
        <v>3.0</v>
      </c>
      <c r="M162" s="15">
        <v>3.0</v>
      </c>
      <c r="N162" s="15">
        <v>3.0</v>
      </c>
      <c r="O162" s="15">
        <v>3.0</v>
      </c>
      <c r="P162" s="15">
        <v>3.0</v>
      </c>
      <c r="Q162" s="15" t="s">
        <v>55</v>
      </c>
      <c r="R162" s="15" t="s">
        <v>64</v>
      </c>
      <c r="S162" s="15" t="s">
        <v>83</v>
      </c>
      <c r="T162" s="23">
        <v>5.0</v>
      </c>
      <c r="U162" s="24">
        <v>-5.0</v>
      </c>
      <c r="V162" s="25"/>
      <c r="W162" s="15" t="s">
        <v>102</v>
      </c>
      <c r="AO162" s="26"/>
      <c r="AP162" s="15">
        <v>22.0</v>
      </c>
      <c r="AQ162" s="15" t="s">
        <v>282</v>
      </c>
      <c r="AR162" s="15" t="s">
        <v>120</v>
      </c>
      <c r="AS162" s="15" t="s">
        <v>61</v>
      </c>
      <c r="AT162" s="15" t="s">
        <v>335</v>
      </c>
      <c r="AU162" s="15" t="s">
        <v>336</v>
      </c>
    </row>
    <row r="163">
      <c r="A163" s="14">
        <v>45068.90115167824</v>
      </c>
      <c r="B163" s="15" t="s">
        <v>53</v>
      </c>
      <c r="C163" s="15" t="s">
        <v>53</v>
      </c>
      <c r="D163" s="15" t="s">
        <v>104</v>
      </c>
      <c r="E163" s="15" t="s">
        <v>53</v>
      </c>
      <c r="F163" s="15">
        <v>5.0</v>
      </c>
      <c r="G163" s="15">
        <v>1.0</v>
      </c>
      <c r="H163" s="15">
        <v>1.0</v>
      </c>
      <c r="I163" s="15">
        <v>5.0</v>
      </c>
      <c r="J163" s="15">
        <v>5.0</v>
      </c>
      <c r="K163" s="15">
        <v>5.0</v>
      </c>
      <c r="L163" s="15">
        <v>1.0</v>
      </c>
      <c r="M163" s="15">
        <v>5.0</v>
      </c>
      <c r="N163" s="15">
        <v>5.0</v>
      </c>
      <c r="O163" s="15">
        <v>5.0</v>
      </c>
      <c r="P163" s="15">
        <v>5.0</v>
      </c>
      <c r="Q163" s="15" t="s">
        <v>92</v>
      </c>
      <c r="R163" s="15" t="s">
        <v>83</v>
      </c>
      <c r="S163" s="15" t="s">
        <v>57</v>
      </c>
      <c r="T163" s="22">
        <v>5.0</v>
      </c>
      <c r="U163" s="20">
        <f>+5</f>
        <v>5</v>
      </c>
      <c r="V163" s="21" t="s">
        <v>104</v>
      </c>
      <c r="X163" s="15" t="s">
        <v>113</v>
      </c>
      <c r="Y163" s="15" t="s">
        <v>53</v>
      </c>
      <c r="Z163" s="15">
        <v>5.0</v>
      </c>
      <c r="AA163" s="15">
        <v>1.0</v>
      </c>
      <c r="AB163" s="15">
        <v>1.0</v>
      </c>
      <c r="AC163" s="15">
        <v>5.0</v>
      </c>
      <c r="AD163" s="15">
        <v>5.0</v>
      </c>
      <c r="AE163" s="15">
        <v>5.0</v>
      </c>
      <c r="AF163" s="15">
        <v>1.0</v>
      </c>
      <c r="AG163" s="15">
        <v>5.0</v>
      </c>
      <c r="AH163" s="15">
        <v>5.0</v>
      </c>
      <c r="AI163" s="15">
        <v>5.0</v>
      </c>
      <c r="AJ163" s="15">
        <v>5.0</v>
      </c>
      <c r="AN163" s="15">
        <v>5.0</v>
      </c>
      <c r="AO163" s="19" t="s">
        <v>104</v>
      </c>
      <c r="AP163" s="15">
        <v>22.0</v>
      </c>
      <c r="AQ163" s="15" t="s">
        <v>67</v>
      </c>
      <c r="AR163" s="15" t="s">
        <v>120</v>
      </c>
      <c r="AS163" s="15" t="s">
        <v>61</v>
      </c>
      <c r="AT163" s="15" t="s">
        <v>337</v>
      </c>
      <c r="AU163" s="15" t="s">
        <v>338</v>
      </c>
    </row>
    <row r="164">
      <c r="A164" s="14">
        <v>45068.904316064814</v>
      </c>
      <c r="B164" s="15" t="s">
        <v>53</v>
      </c>
      <c r="C164" s="15" t="s">
        <v>53</v>
      </c>
      <c r="D164" s="15" t="s">
        <v>54</v>
      </c>
      <c r="E164" s="15" t="s">
        <v>53</v>
      </c>
      <c r="F164" s="15">
        <v>4.0</v>
      </c>
      <c r="G164" s="15">
        <v>3.0</v>
      </c>
      <c r="H164" s="15">
        <v>2.0</v>
      </c>
      <c r="I164" s="15">
        <v>4.0</v>
      </c>
      <c r="J164" s="15">
        <v>4.0</v>
      </c>
      <c r="K164" s="15">
        <v>4.0</v>
      </c>
      <c r="L164" s="15">
        <v>2.0</v>
      </c>
      <c r="M164" s="15">
        <v>3.0</v>
      </c>
      <c r="N164" s="15">
        <v>4.0</v>
      </c>
      <c r="O164" s="15">
        <v>4.0</v>
      </c>
      <c r="P164" s="15">
        <v>4.0</v>
      </c>
      <c r="Q164" s="15" t="s">
        <v>55</v>
      </c>
      <c r="R164" s="15" t="s">
        <v>64</v>
      </c>
      <c r="S164" s="15" t="s">
        <v>92</v>
      </c>
      <c r="T164" s="22">
        <v>5.0</v>
      </c>
      <c r="U164" s="20">
        <f>+4</f>
        <v>4</v>
      </c>
      <c r="V164" s="21" t="s">
        <v>85</v>
      </c>
      <c r="X164" s="15" t="s">
        <v>66</v>
      </c>
      <c r="Y164" s="15" t="s">
        <v>53</v>
      </c>
      <c r="Z164" s="15">
        <v>4.0</v>
      </c>
      <c r="AA164" s="15">
        <v>3.0</v>
      </c>
      <c r="AB164" s="15">
        <v>2.0</v>
      </c>
      <c r="AC164" s="15">
        <v>4.0</v>
      </c>
      <c r="AD164" s="15">
        <v>4.0</v>
      </c>
      <c r="AE164" s="15">
        <v>4.0</v>
      </c>
      <c r="AF164" s="15">
        <v>2.0</v>
      </c>
      <c r="AG164" s="15">
        <v>3.0</v>
      </c>
      <c r="AH164" s="15">
        <v>4.0</v>
      </c>
      <c r="AI164" s="15">
        <v>4.0</v>
      </c>
      <c r="AJ164" s="15">
        <v>4.0</v>
      </c>
      <c r="AN164" s="15">
        <v>4.0</v>
      </c>
      <c r="AO164" s="19" t="s">
        <v>85</v>
      </c>
      <c r="AP164" s="15">
        <v>18.0</v>
      </c>
      <c r="AQ164" s="15" t="s">
        <v>59</v>
      </c>
      <c r="AR164" s="15" t="s">
        <v>60</v>
      </c>
      <c r="AS164" s="15" t="s">
        <v>109</v>
      </c>
      <c r="AT164" s="15" t="s">
        <v>225</v>
      </c>
      <c r="AU164" s="15" t="s">
        <v>339</v>
      </c>
      <c r="AV164" s="15" t="s">
        <v>129</v>
      </c>
    </row>
    <row r="165">
      <c r="A165" s="14">
        <v>45068.90471163194</v>
      </c>
      <c r="B165" s="15" t="s">
        <v>53</v>
      </c>
      <c r="C165" s="15" t="s">
        <v>53</v>
      </c>
      <c r="D165" s="15">
        <v>-1.0</v>
      </c>
      <c r="E165" s="15" t="s">
        <v>53</v>
      </c>
      <c r="F165" s="15">
        <v>4.0</v>
      </c>
      <c r="G165" s="15">
        <v>2.0</v>
      </c>
      <c r="H165" s="15">
        <v>2.0</v>
      </c>
      <c r="I165" s="15">
        <v>4.0</v>
      </c>
      <c r="J165" s="15">
        <v>1.0</v>
      </c>
      <c r="K165" s="15">
        <v>4.0</v>
      </c>
      <c r="L165" s="15">
        <v>1.0</v>
      </c>
      <c r="M165" s="15">
        <v>4.0</v>
      </c>
      <c r="N165" s="15">
        <v>5.0</v>
      </c>
      <c r="O165" s="15">
        <v>5.0</v>
      </c>
      <c r="P165" s="15">
        <v>5.0</v>
      </c>
      <c r="Q165" s="15" t="s">
        <v>55</v>
      </c>
      <c r="R165" s="15" t="s">
        <v>56</v>
      </c>
      <c r="S165" s="15" t="s">
        <v>86</v>
      </c>
      <c r="T165" s="23">
        <v>5.0</v>
      </c>
      <c r="U165" s="24">
        <v>-4.0</v>
      </c>
      <c r="V165" s="25"/>
      <c r="W165" s="15" t="s">
        <v>80</v>
      </c>
      <c r="AO165" s="26"/>
      <c r="AP165" s="15">
        <v>23.0</v>
      </c>
      <c r="AQ165" s="15" t="s">
        <v>67</v>
      </c>
      <c r="AR165" s="15" t="s">
        <v>340</v>
      </c>
      <c r="AS165" s="15" t="s">
        <v>109</v>
      </c>
      <c r="AT165" s="15" t="s">
        <v>69</v>
      </c>
      <c r="AU165" s="15" t="s">
        <v>341</v>
      </c>
    </row>
    <row r="166">
      <c r="A166" s="14">
        <v>45068.91078092593</v>
      </c>
      <c r="B166" s="15" t="s">
        <v>53</v>
      </c>
      <c r="C166" s="15" t="s">
        <v>53</v>
      </c>
      <c r="D166" s="15" t="s">
        <v>54</v>
      </c>
      <c r="E166" s="15" t="s">
        <v>53</v>
      </c>
      <c r="F166" s="15">
        <v>5.0</v>
      </c>
      <c r="G166" s="15">
        <v>1.0</v>
      </c>
      <c r="H166" s="15">
        <v>1.0</v>
      </c>
      <c r="I166" s="15">
        <v>4.0</v>
      </c>
      <c r="J166" s="15">
        <v>4.0</v>
      </c>
      <c r="K166" s="15">
        <v>5.0</v>
      </c>
      <c r="L166" s="15">
        <v>2.0</v>
      </c>
      <c r="M166" s="15">
        <v>3.0</v>
      </c>
      <c r="N166" s="15">
        <v>3.0</v>
      </c>
      <c r="O166" s="15">
        <v>3.0</v>
      </c>
      <c r="P166" s="15">
        <v>3.0</v>
      </c>
      <c r="Q166" s="15" t="s">
        <v>56</v>
      </c>
      <c r="R166" s="15" t="s">
        <v>92</v>
      </c>
      <c r="S166" s="15" t="s">
        <v>64</v>
      </c>
      <c r="T166" s="22">
        <v>3.0</v>
      </c>
      <c r="U166" s="20">
        <f t="shared" ref="U166:U167" si="10">+3</f>
        <v>3</v>
      </c>
      <c r="V166" s="21" t="s">
        <v>54</v>
      </c>
      <c r="X166" s="15" t="s">
        <v>77</v>
      </c>
      <c r="Y166" s="15" t="s">
        <v>53</v>
      </c>
      <c r="Z166" s="15">
        <v>5.0</v>
      </c>
      <c r="AA166" s="15">
        <v>1.0</v>
      </c>
      <c r="AB166" s="15">
        <v>1.0</v>
      </c>
      <c r="AC166" s="15">
        <v>4.0</v>
      </c>
      <c r="AD166" s="15">
        <v>4.0</v>
      </c>
      <c r="AE166" s="15">
        <v>5.0</v>
      </c>
      <c r="AF166" s="15">
        <v>2.0</v>
      </c>
      <c r="AG166" s="15">
        <v>3.0</v>
      </c>
      <c r="AH166" s="15">
        <v>3.0</v>
      </c>
      <c r="AI166" s="15">
        <v>3.0</v>
      </c>
      <c r="AJ166" s="15">
        <v>3.0</v>
      </c>
      <c r="AN166" s="15">
        <v>4.0</v>
      </c>
      <c r="AO166" s="19" t="s">
        <v>54</v>
      </c>
      <c r="AP166" s="15">
        <v>21.0</v>
      </c>
      <c r="AQ166" s="15" t="s">
        <v>67</v>
      </c>
      <c r="AR166" s="15" t="s">
        <v>60</v>
      </c>
      <c r="AS166" s="15" t="s">
        <v>61</v>
      </c>
      <c r="AT166" s="15" t="s">
        <v>138</v>
      </c>
      <c r="AU166" s="15" t="s">
        <v>342</v>
      </c>
    </row>
    <row r="167">
      <c r="A167" s="14">
        <v>45068.91135015046</v>
      </c>
      <c r="B167" s="15" t="s">
        <v>53</v>
      </c>
      <c r="C167" s="15" t="s">
        <v>53</v>
      </c>
      <c r="D167" s="15">
        <v>-2.0</v>
      </c>
      <c r="E167" s="15" t="s">
        <v>53</v>
      </c>
      <c r="F167" s="15">
        <v>2.0</v>
      </c>
      <c r="G167" s="15">
        <v>4.0</v>
      </c>
      <c r="H167" s="15">
        <v>4.0</v>
      </c>
      <c r="I167" s="15">
        <v>4.0</v>
      </c>
      <c r="J167" s="15">
        <v>3.0</v>
      </c>
      <c r="K167" s="15">
        <v>4.0</v>
      </c>
      <c r="L167" s="15">
        <v>2.0</v>
      </c>
      <c r="M167" s="15">
        <v>5.0</v>
      </c>
      <c r="N167" s="15">
        <v>5.0</v>
      </c>
      <c r="O167" s="15">
        <v>5.0</v>
      </c>
      <c r="P167" s="15">
        <v>5.0</v>
      </c>
      <c r="Q167" s="15" t="s">
        <v>55</v>
      </c>
      <c r="R167" s="15" t="s">
        <v>64</v>
      </c>
      <c r="S167" s="15" t="s">
        <v>83</v>
      </c>
      <c r="T167" s="23">
        <v>5.0</v>
      </c>
      <c r="U167" s="24">
        <f t="shared" si="10"/>
        <v>3</v>
      </c>
      <c r="V167" s="21"/>
      <c r="X167" s="15" t="s">
        <v>77</v>
      </c>
      <c r="AO167" s="26"/>
      <c r="AP167" s="15">
        <v>21.0</v>
      </c>
      <c r="AQ167" s="15" t="s">
        <v>59</v>
      </c>
      <c r="AR167" s="15" t="s">
        <v>60</v>
      </c>
      <c r="AS167" s="15" t="s">
        <v>61</v>
      </c>
      <c r="AT167" s="15" t="s">
        <v>93</v>
      </c>
      <c r="AU167" s="15" t="s">
        <v>343</v>
      </c>
    </row>
    <row r="168">
      <c r="A168" s="14">
        <v>45068.913604664354</v>
      </c>
      <c r="B168" s="15" t="s">
        <v>53</v>
      </c>
      <c r="C168" s="15" t="s">
        <v>53</v>
      </c>
      <c r="D168" s="15">
        <v>-1.0</v>
      </c>
      <c r="E168" s="15" t="s">
        <v>53</v>
      </c>
      <c r="F168" s="15">
        <v>2.0</v>
      </c>
      <c r="G168" s="15">
        <v>3.0</v>
      </c>
      <c r="H168" s="15">
        <v>2.0</v>
      </c>
      <c r="I168" s="15">
        <v>3.0</v>
      </c>
      <c r="J168" s="15">
        <v>1.0</v>
      </c>
      <c r="K168" s="15">
        <v>2.0</v>
      </c>
      <c r="L168" s="15">
        <v>3.0</v>
      </c>
      <c r="M168" s="15">
        <v>5.0</v>
      </c>
      <c r="N168" s="15">
        <v>4.0</v>
      </c>
      <c r="O168" s="15">
        <v>3.0</v>
      </c>
      <c r="P168" s="15">
        <v>4.0</v>
      </c>
      <c r="Q168" s="15" t="s">
        <v>64</v>
      </c>
      <c r="R168" s="15" t="s">
        <v>86</v>
      </c>
      <c r="S168" s="15" t="s">
        <v>55</v>
      </c>
      <c r="T168" s="23">
        <v>5.0</v>
      </c>
      <c r="U168" s="24">
        <f>+1</f>
        <v>1</v>
      </c>
      <c r="V168" s="21"/>
      <c r="X168" s="15" t="s">
        <v>116</v>
      </c>
      <c r="AO168" s="26"/>
      <c r="AP168" s="15">
        <v>24.0</v>
      </c>
      <c r="AQ168" s="15" t="s">
        <v>59</v>
      </c>
      <c r="AR168" s="15" t="s">
        <v>344</v>
      </c>
      <c r="AS168" s="15" t="s">
        <v>61</v>
      </c>
      <c r="AT168" s="15" t="s">
        <v>69</v>
      </c>
      <c r="AU168" s="15" t="s">
        <v>345</v>
      </c>
      <c r="AV168" s="15" t="s">
        <v>288</v>
      </c>
    </row>
    <row r="169">
      <c r="A169" s="14">
        <v>45068.92077394676</v>
      </c>
      <c r="B169" s="15" t="s">
        <v>53</v>
      </c>
      <c r="C169" s="15" t="s">
        <v>53</v>
      </c>
      <c r="D169" s="15" t="s">
        <v>85</v>
      </c>
      <c r="E169" s="15" t="s">
        <v>53</v>
      </c>
      <c r="F169" s="15">
        <v>5.0</v>
      </c>
      <c r="G169" s="15">
        <v>1.0</v>
      </c>
      <c r="H169" s="15">
        <v>1.0</v>
      </c>
      <c r="I169" s="15">
        <v>4.0</v>
      </c>
      <c r="J169" s="15">
        <v>5.0</v>
      </c>
      <c r="K169" s="15">
        <v>1.0</v>
      </c>
      <c r="L169" s="15">
        <v>2.0</v>
      </c>
      <c r="M169" s="15">
        <v>2.0</v>
      </c>
      <c r="N169" s="15">
        <v>2.0</v>
      </c>
      <c r="O169" s="15">
        <v>2.0</v>
      </c>
      <c r="P169" s="15">
        <v>2.0</v>
      </c>
      <c r="Q169" s="15" t="s">
        <v>55</v>
      </c>
      <c r="R169" s="15" t="s">
        <v>57</v>
      </c>
      <c r="S169" s="15" t="s">
        <v>92</v>
      </c>
      <c r="T169" s="22">
        <v>5.0</v>
      </c>
      <c r="U169" s="20">
        <f t="shared" ref="U169:U170" si="11">+3</f>
        <v>3</v>
      </c>
      <c r="V169" s="21" t="s">
        <v>54</v>
      </c>
      <c r="X169" s="15" t="s">
        <v>108</v>
      </c>
      <c r="Y169" s="15" t="s">
        <v>53</v>
      </c>
      <c r="Z169" s="15">
        <v>5.0</v>
      </c>
      <c r="AA169" s="15">
        <v>1.0</v>
      </c>
      <c r="AB169" s="15">
        <v>1.0</v>
      </c>
      <c r="AC169" s="15">
        <v>4.0</v>
      </c>
      <c r="AD169" s="15">
        <v>5.0</v>
      </c>
      <c r="AE169" s="15">
        <v>1.0</v>
      </c>
      <c r="AF169" s="15">
        <v>2.0</v>
      </c>
      <c r="AG169" s="15">
        <v>2.0</v>
      </c>
      <c r="AH169" s="15">
        <v>2.0</v>
      </c>
      <c r="AI169" s="15">
        <v>2.0</v>
      </c>
      <c r="AJ169" s="15">
        <v>2.0</v>
      </c>
      <c r="AN169" s="15">
        <v>4.0</v>
      </c>
      <c r="AO169" s="19" t="s">
        <v>54</v>
      </c>
      <c r="AP169" s="15">
        <v>25.0</v>
      </c>
      <c r="AQ169" s="15" t="s">
        <v>67</v>
      </c>
      <c r="AR169" s="15" t="s">
        <v>60</v>
      </c>
      <c r="AS169" s="15" t="s">
        <v>61</v>
      </c>
      <c r="AT169" s="15" t="s">
        <v>69</v>
      </c>
      <c r="AU169" s="15" t="s">
        <v>346</v>
      </c>
    </row>
    <row r="170">
      <c r="A170" s="14">
        <v>45068.92142755787</v>
      </c>
      <c r="B170" s="15" t="s">
        <v>53</v>
      </c>
      <c r="C170" s="15" t="s">
        <v>53</v>
      </c>
      <c r="D170" s="15" t="s">
        <v>104</v>
      </c>
      <c r="E170" s="15" t="s">
        <v>53</v>
      </c>
      <c r="F170" s="15">
        <v>5.0</v>
      </c>
      <c r="G170" s="15">
        <v>2.0</v>
      </c>
      <c r="H170" s="15">
        <v>2.0</v>
      </c>
      <c r="I170" s="15">
        <v>5.0</v>
      </c>
      <c r="J170" s="15">
        <v>3.0</v>
      </c>
      <c r="K170" s="15">
        <v>5.0</v>
      </c>
      <c r="L170" s="15">
        <v>1.0</v>
      </c>
      <c r="M170" s="15">
        <v>5.0</v>
      </c>
      <c r="N170" s="15">
        <v>5.0</v>
      </c>
      <c r="O170" s="15">
        <v>5.0</v>
      </c>
      <c r="P170" s="15">
        <v>5.0</v>
      </c>
      <c r="Q170" s="15" t="s">
        <v>55</v>
      </c>
      <c r="R170" s="15" t="s">
        <v>64</v>
      </c>
      <c r="S170" s="15" t="s">
        <v>56</v>
      </c>
      <c r="T170" s="22">
        <v>4.0</v>
      </c>
      <c r="U170" s="20">
        <f t="shared" si="11"/>
        <v>3</v>
      </c>
      <c r="V170" s="21" t="s">
        <v>54</v>
      </c>
      <c r="X170" s="15" t="s">
        <v>347</v>
      </c>
      <c r="Y170" s="15" t="s">
        <v>53</v>
      </c>
      <c r="Z170" s="15">
        <v>5.0</v>
      </c>
      <c r="AA170" s="15">
        <v>2.0</v>
      </c>
      <c r="AB170" s="15">
        <v>2.0</v>
      </c>
      <c r="AC170" s="15">
        <v>5.0</v>
      </c>
      <c r="AD170" s="15">
        <v>3.0</v>
      </c>
      <c r="AE170" s="15">
        <v>5.0</v>
      </c>
      <c r="AF170" s="15">
        <v>1.0</v>
      </c>
      <c r="AG170" s="15">
        <v>5.0</v>
      </c>
      <c r="AH170" s="15">
        <v>5.0</v>
      </c>
      <c r="AI170" s="15">
        <v>5.0</v>
      </c>
      <c r="AJ170" s="15">
        <v>5.0</v>
      </c>
      <c r="AN170" s="15">
        <v>5.0</v>
      </c>
      <c r="AO170" s="19" t="s">
        <v>54</v>
      </c>
      <c r="AP170" s="15">
        <v>22.0</v>
      </c>
      <c r="AQ170" s="15" t="s">
        <v>67</v>
      </c>
      <c r="AR170" s="15" t="s">
        <v>348</v>
      </c>
      <c r="AS170" s="15" t="s">
        <v>61</v>
      </c>
      <c r="AT170" s="15" t="s">
        <v>225</v>
      </c>
      <c r="AU170" s="15" t="s">
        <v>349</v>
      </c>
    </row>
    <row r="171">
      <c r="A171" s="14">
        <v>45068.92181277778</v>
      </c>
      <c r="B171" s="15" t="s">
        <v>53</v>
      </c>
      <c r="C171" s="15" t="s">
        <v>53</v>
      </c>
      <c r="D171" s="15" t="s">
        <v>72</v>
      </c>
      <c r="E171" s="15" t="s">
        <v>53</v>
      </c>
      <c r="F171" s="15">
        <v>3.0</v>
      </c>
      <c r="G171" s="15">
        <v>4.0</v>
      </c>
      <c r="H171" s="15">
        <v>4.0</v>
      </c>
      <c r="I171" s="15">
        <v>5.0</v>
      </c>
      <c r="J171" s="15">
        <v>1.0</v>
      </c>
      <c r="K171" s="15">
        <v>4.0</v>
      </c>
      <c r="L171" s="15">
        <v>2.0</v>
      </c>
      <c r="M171" s="15">
        <v>4.0</v>
      </c>
      <c r="N171" s="15">
        <v>4.0</v>
      </c>
      <c r="O171" s="15">
        <v>4.0</v>
      </c>
      <c r="P171" s="15">
        <v>5.0</v>
      </c>
      <c r="Q171" s="15" t="s">
        <v>55</v>
      </c>
      <c r="R171" s="15" t="s">
        <v>64</v>
      </c>
      <c r="S171" s="15" t="s">
        <v>57</v>
      </c>
      <c r="T171" s="22">
        <v>5.0</v>
      </c>
      <c r="U171" s="17">
        <v>-3.0</v>
      </c>
      <c r="V171" s="18">
        <v>-3.0</v>
      </c>
      <c r="W171" s="15" t="s">
        <v>80</v>
      </c>
      <c r="Y171" s="15" t="s">
        <v>53</v>
      </c>
      <c r="Z171" s="15">
        <v>3.0</v>
      </c>
      <c r="AA171" s="15">
        <v>4.0</v>
      </c>
      <c r="AB171" s="15">
        <v>4.0</v>
      </c>
      <c r="AC171" s="15">
        <v>5.0</v>
      </c>
      <c r="AD171" s="15">
        <v>1.0</v>
      </c>
      <c r="AE171" s="15">
        <v>4.0</v>
      </c>
      <c r="AF171" s="15">
        <v>2.0</v>
      </c>
      <c r="AG171" s="15">
        <v>4.0</v>
      </c>
      <c r="AH171" s="15">
        <v>4.0</v>
      </c>
      <c r="AI171" s="15">
        <v>4.0</v>
      </c>
      <c r="AJ171" s="15">
        <v>5.0</v>
      </c>
      <c r="AN171" s="15">
        <v>4.0</v>
      </c>
      <c r="AO171" s="19">
        <v>-3.0</v>
      </c>
      <c r="AP171" s="15">
        <v>22.0</v>
      </c>
      <c r="AQ171" s="15" t="s">
        <v>67</v>
      </c>
      <c r="AR171" s="15" t="s">
        <v>350</v>
      </c>
      <c r="AS171" s="15" t="s">
        <v>61</v>
      </c>
      <c r="AT171" s="15" t="s">
        <v>105</v>
      </c>
      <c r="AU171" s="15" t="s">
        <v>351</v>
      </c>
    </row>
    <row r="172">
      <c r="A172" s="14">
        <v>45068.927150937496</v>
      </c>
      <c r="B172" s="15" t="s">
        <v>53</v>
      </c>
      <c r="C172" s="15" t="s">
        <v>53</v>
      </c>
      <c r="D172" s="15">
        <v>-2.0</v>
      </c>
      <c r="E172" s="15" t="s">
        <v>53</v>
      </c>
      <c r="F172" s="15">
        <v>2.0</v>
      </c>
      <c r="G172" s="15">
        <v>4.0</v>
      </c>
      <c r="H172" s="15">
        <v>4.0</v>
      </c>
      <c r="I172" s="15">
        <v>5.0</v>
      </c>
      <c r="J172" s="15">
        <v>1.0</v>
      </c>
      <c r="K172" s="15">
        <v>5.0</v>
      </c>
      <c r="L172" s="15">
        <v>2.0</v>
      </c>
      <c r="M172" s="15">
        <v>2.0</v>
      </c>
      <c r="N172" s="15">
        <v>2.0</v>
      </c>
      <c r="O172" s="15">
        <v>2.0</v>
      </c>
      <c r="P172" s="15">
        <v>2.0</v>
      </c>
      <c r="Q172" s="15" t="s">
        <v>64</v>
      </c>
      <c r="R172" s="15" t="s">
        <v>55</v>
      </c>
      <c r="S172" s="15" t="s">
        <v>57</v>
      </c>
      <c r="T172" s="23">
        <v>5.0</v>
      </c>
      <c r="U172" s="24">
        <f>+1</f>
        <v>1</v>
      </c>
      <c r="V172" s="21"/>
      <c r="X172" s="15" t="s">
        <v>77</v>
      </c>
      <c r="AO172" s="26"/>
      <c r="AP172" s="15">
        <v>21.0</v>
      </c>
      <c r="AQ172" s="15" t="s">
        <v>59</v>
      </c>
      <c r="AR172" s="15" t="s">
        <v>120</v>
      </c>
      <c r="AS172" s="15" t="s">
        <v>109</v>
      </c>
      <c r="AT172" s="15" t="s">
        <v>352</v>
      </c>
      <c r="AU172" s="15" t="s">
        <v>353</v>
      </c>
    </row>
    <row r="173">
      <c r="A173" s="14">
        <v>45068.93192783565</v>
      </c>
      <c r="B173" s="15" t="s">
        <v>53</v>
      </c>
      <c r="C173" s="15" t="s">
        <v>53</v>
      </c>
      <c r="D173" s="15" t="s">
        <v>104</v>
      </c>
      <c r="E173" s="15" t="s">
        <v>53</v>
      </c>
      <c r="F173" s="15">
        <v>4.0</v>
      </c>
      <c r="G173" s="15">
        <v>2.0</v>
      </c>
      <c r="H173" s="15">
        <v>3.0</v>
      </c>
      <c r="I173" s="15">
        <v>5.0</v>
      </c>
      <c r="J173" s="15">
        <v>3.0</v>
      </c>
      <c r="K173" s="15">
        <v>5.0</v>
      </c>
      <c r="L173" s="15">
        <v>1.0</v>
      </c>
      <c r="M173" s="15">
        <v>4.0</v>
      </c>
      <c r="N173" s="15">
        <v>4.0</v>
      </c>
      <c r="O173" s="15">
        <v>5.0</v>
      </c>
      <c r="P173" s="15">
        <v>4.0</v>
      </c>
      <c r="Q173" s="15" t="s">
        <v>55</v>
      </c>
      <c r="R173" s="15" t="s">
        <v>64</v>
      </c>
      <c r="S173" s="15" t="s">
        <v>56</v>
      </c>
      <c r="T173" s="22">
        <v>5.0</v>
      </c>
      <c r="U173" s="17">
        <v>-3.0</v>
      </c>
      <c r="V173" s="18">
        <v>-3.0</v>
      </c>
      <c r="W173" s="15" t="s">
        <v>80</v>
      </c>
      <c r="Y173" s="15" t="s">
        <v>53</v>
      </c>
      <c r="Z173" s="15">
        <v>4.0</v>
      </c>
      <c r="AA173" s="15">
        <v>2.0</v>
      </c>
      <c r="AB173" s="15">
        <v>3.0</v>
      </c>
      <c r="AC173" s="15">
        <v>5.0</v>
      </c>
      <c r="AD173" s="15">
        <v>3.0</v>
      </c>
      <c r="AE173" s="15">
        <v>5.0</v>
      </c>
      <c r="AF173" s="15">
        <v>1.0</v>
      </c>
      <c r="AG173" s="15">
        <v>4.0</v>
      </c>
      <c r="AH173" s="15">
        <v>4.0</v>
      </c>
      <c r="AI173" s="15">
        <v>5.0</v>
      </c>
      <c r="AJ173" s="15">
        <v>4.0</v>
      </c>
      <c r="AN173" s="15">
        <v>4.0</v>
      </c>
      <c r="AO173" s="19">
        <v>-3.0</v>
      </c>
      <c r="AP173" s="15">
        <v>21.0</v>
      </c>
      <c r="AQ173" s="15" t="s">
        <v>67</v>
      </c>
      <c r="AR173" s="15" t="s">
        <v>60</v>
      </c>
      <c r="AS173" s="15" t="s">
        <v>61</v>
      </c>
      <c r="AT173" s="15" t="s">
        <v>354</v>
      </c>
      <c r="AU173" s="15" t="s">
        <v>355</v>
      </c>
      <c r="AV173" s="15" t="s">
        <v>356</v>
      </c>
    </row>
    <row r="174">
      <c r="A174" s="14">
        <v>45068.932280023146</v>
      </c>
      <c r="B174" s="15" t="s">
        <v>53</v>
      </c>
      <c r="C174" s="15" t="s">
        <v>53</v>
      </c>
      <c r="D174" s="15" t="s">
        <v>85</v>
      </c>
      <c r="E174" s="15" t="s">
        <v>53</v>
      </c>
      <c r="F174" s="15">
        <v>5.0</v>
      </c>
      <c r="G174" s="15">
        <v>1.0</v>
      </c>
      <c r="H174" s="15">
        <v>1.0</v>
      </c>
      <c r="I174" s="15">
        <v>4.0</v>
      </c>
      <c r="J174" s="15">
        <v>3.0</v>
      </c>
      <c r="K174" s="15">
        <v>4.0</v>
      </c>
      <c r="L174" s="15">
        <v>1.0</v>
      </c>
      <c r="M174" s="15">
        <v>3.0</v>
      </c>
      <c r="N174" s="15">
        <v>3.0</v>
      </c>
      <c r="O174" s="15">
        <v>3.0</v>
      </c>
      <c r="P174" s="15">
        <v>3.0</v>
      </c>
      <c r="Q174" s="15" t="s">
        <v>55</v>
      </c>
      <c r="R174" s="15" t="s">
        <v>64</v>
      </c>
      <c r="S174" s="15" t="s">
        <v>57</v>
      </c>
      <c r="T174" s="22">
        <v>4.0</v>
      </c>
      <c r="U174" s="17">
        <v>-2.0</v>
      </c>
      <c r="V174" s="18">
        <v>-2.0</v>
      </c>
      <c r="W174" s="15" t="s">
        <v>80</v>
      </c>
      <c r="Y174" s="15" t="s">
        <v>53</v>
      </c>
      <c r="Z174" s="15">
        <v>5.0</v>
      </c>
      <c r="AA174" s="15">
        <v>1.0</v>
      </c>
      <c r="AB174" s="15">
        <v>1.0</v>
      </c>
      <c r="AC174" s="15">
        <v>4.0</v>
      </c>
      <c r="AD174" s="15">
        <v>3.0</v>
      </c>
      <c r="AE174" s="15">
        <v>4.0</v>
      </c>
      <c r="AF174" s="15">
        <v>1.0</v>
      </c>
      <c r="AG174" s="15">
        <v>3.0</v>
      </c>
      <c r="AH174" s="15">
        <v>3.0</v>
      </c>
      <c r="AI174" s="15">
        <v>3.0</v>
      </c>
      <c r="AJ174" s="15">
        <v>3.0</v>
      </c>
      <c r="AN174" s="15">
        <v>4.0</v>
      </c>
      <c r="AO174" s="19">
        <v>-2.0</v>
      </c>
      <c r="AP174" s="15">
        <v>22.0</v>
      </c>
      <c r="AQ174" s="15" t="s">
        <v>67</v>
      </c>
      <c r="AR174" s="15" t="s">
        <v>60</v>
      </c>
      <c r="AS174" s="15" t="s">
        <v>61</v>
      </c>
      <c r="AT174" s="15" t="s">
        <v>93</v>
      </c>
      <c r="AU174" s="15" t="s">
        <v>357</v>
      </c>
    </row>
    <row r="175">
      <c r="A175" s="14">
        <v>45068.93870695602</v>
      </c>
      <c r="B175" s="15" t="s">
        <v>53</v>
      </c>
      <c r="C175" s="15" t="s">
        <v>53</v>
      </c>
      <c r="D175" s="15">
        <v>-3.0</v>
      </c>
      <c r="E175" s="15" t="s">
        <v>53</v>
      </c>
      <c r="F175" s="15">
        <v>2.0</v>
      </c>
      <c r="G175" s="15">
        <v>3.0</v>
      </c>
      <c r="H175" s="15">
        <v>4.0</v>
      </c>
      <c r="I175" s="15">
        <v>5.0</v>
      </c>
      <c r="J175" s="15">
        <v>2.0</v>
      </c>
      <c r="K175" s="15">
        <v>2.0</v>
      </c>
      <c r="L175" s="15">
        <v>2.0</v>
      </c>
      <c r="M175" s="15">
        <v>3.0</v>
      </c>
      <c r="N175" s="15">
        <v>2.0</v>
      </c>
      <c r="O175" s="15">
        <v>1.0</v>
      </c>
      <c r="P175" s="15">
        <v>1.0</v>
      </c>
      <c r="Q175" s="15" t="s">
        <v>64</v>
      </c>
      <c r="R175" s="15" t="s">
        <v>55</v>
      </c>
      <c r="S175" s="15" t="s">
        <v>56</v>
      </c>
      <c r="T175" s="23">
        <v>4.0</v>
      </c>
      <c r="U175" s="24">
        <v>-1.0</v>
      </c>
      <c r="V175" s="25"/>
      <c r="W175" s="15" t="s">
        <v>58</v>
      </c>
      <c r="AO175" s="26"/>
      <c r="AP175" s="15">
        <v>24.0</v>
      </c>
      <c r="AQ175" s="15" t="s">
        <v>59</v>
      </c>
      <c r="AR175" s="15" t="s">
        <v>60</v>
      </c>
      <c r="AS175" s="15" t="s">
        <v>61</v>
      </c>
      <c r="AT175" s="15" t="s">
        <v>326</v>
      </c>
      <c r="AU175" s="15" t="s">
        <v>358</v>
      </c>
    </row>
    <row r="176">
      <c r="A176" s="14">
        <v>45068.94262396991</v>
      </c>
      <c r="B176" s="15" t="s">
        <v>53</v>
      </c>
      <c r="C176" s="15" t="s">
        <v>53</v>
      </c>
      <c r="D176" s="15" t="s">
        <v>54</v>
      </c>
      <c r="E176" s="15" t="s">
        <v>53</v>
      </c>
      <c r="F176" s="15">
        <v>2.0</v>
      </c>
      <c r="G176" s="15">
        <v>4.0</v>
      </c>
      <c r="H176" s="15">
        <v>4.0</v>
      </c>
      <c r="I176" s="15">
        <v>3.0</v>
      </c>
      <c r="J176" s="15">
        <v>2.0</v>
      </c>
      <c r="K176" s="15">
        <v>4.0</v>
      </c>
      <c r="L176" s="15">
        <v>1.0</v>
      </c>
      <c r="M176" s="15">
        <v>4.0</v>
      </c>
      <c r="N176" s="15">
        <v>4.0</v>
      </c>
      <c r="O176" s="15">
        <v>4.0</v>
      </c>
      <c r="P176" s="15">
        <v>4.0</v>
      </c>
      <c r="Q176" s="15" t="s">
        <v>55</v>
      </c>
      <c r="R176" s="15" t="s">
        <v>57</v>
      </c>
      <c r="S176" s="15" t="s">
        <v>83</v>
      </c>
      <c r="T176" s="22">
        <v>3.0</v>
      </c>
      <c r="U176" s="17">
        <v>-2.0</v>
      </c>
      <c r="V176" s="18">
        <v>-2.0</v>
      </c>
      <c r="W176" s="15" t="s">
        <v>58</v>
      </c>
      <c r="Y176" s="15" t="s">
        <v>53</v>
      </c>
      <c r="Z176" s="15">
        <v>2.0</v>
      </c>
      <c r="AA176" s="15">
        <v>4.0</v>
      </c>
      <c r="AB176" s="15">
        <v>4.0</v>
      </c>
      <c r="AC176" s="15">
        <v>3.0</v>
      </c>
      <c r="AD176" s="15">
        <v>2.0</v>
      </c>
      <c r="AE176" s="15">
        <v>4.0</v>
      </c>
      <c r="AF176" s="15">
        <v>1.0</v>
      </c>
      <c r="AG176" s="15">
        <v>4.0</v>
      </c>
      <c r="AH176" s="15">
        <v>4.0</v>
      </c>
      <c r="AI176" s="15">
        <v>4.0</v>
      </c>
      <c r="AJ176" s="15">
        <v>4.0</v>
      </c>
      <c r="AN176" s="15">
        <v>5.0</v>
      </c>
      <c r="AO176" s="19">
        <v>-2.0</v>
      </c>
      <c r="AP176" s="15">
        <v>21.0</v>
      </c>
      <c r="AQ176" s="15" t="s">
        <v>67</v>
      </c>
      <c r="AR176" s="15" t="s">
        <v>120</v>
      </c>
      <c r="AS176" s="15" t="s">
        <v>61</v>
      </c>
      <c r="AT176" s="15" t="s">
        <v>99</v>
      </c>
      <c r="AU176" s="15" t="s">
        <v>359</v>
      </c>
    </row>
    <row r="177">
      <c r="A177" s="14">
        <v>45068.95092481481</v>
      </c>
      <c r="B177" s="15" t="s">
        <v>53</v>
      </c>
      <c r="C177" s="15" t="s">
        <v>53</v>
      </c>
      <c r="D177" s="15" t="s">
        <v>65</v>
      </c>
      <c r="E177" s="15" t="s">
        <v>53</v>
      </c>
      <c r="F177" s="15">
        <v>3.0</v>
      </c>
      <c r="G177" s="15">
        <v>1.0</v>
      </c>
      <c r="H177" s="15">
        <v>1.0</v>
      </c>
      <c r="I177" s="15">
        <v>4.0</v>
      </c>
      <c r="J177" s="15">
        <v>2.0</v>
      </c>
      <c r="K177" s="15">
        <v>3.0</v>
      </c>
      <c r="L177" s="15">
        <v>1.0</v>
      </c>
      <c r="M177" s="15">
        <v>3.0</v>
      </c>
      <c r="N177" s="15">
        <v>3.0</v>
      </c>
      <c r="O177" s="15">
        <v>1.0</v>
      </c>
      <c r="P177" s="15">
        <v>1.0</v>
      </c>
      <c r="Q177" s="15" t="s">
        <v>64</v>
      </c>
      <c r="R177" s="15" t="s">
        <v>55</v>
      </c>
      <c r="S177" s="15" t="s">
        <v>56</v>
      </c>
      <c r="T177" s="22">
        <v>4.0</v>
      </c>
      <c r="U177" s="20">
        <f>+2</f>
        <v>2</v>
      </c>
      <c r="V177" s="21" t="s">
        <v>65</v>
      </c>
      <c r="X177" s="15" t="s">
        <v>113</v>
      </c>
      <c r="Y177" s="15" t="s">
        <v>53</v>
      </c>
      <c r="Z177" s="15">
        <v>3.0</v>
      </c>
      <c r="AA177" s="15">
        <v>1.0</v>
      </c>
      <c r="AB177" s="15">
        <v>1.0</v>
      </c>
      <c r="AC177" s="15">
        <v>4.0</v>
      </c>
      <c r="AD177" s="15">
        <v>2.0</v>
      </c>
      <c r="AE177" s="15">
        <v>3.0</v>
      </c>
      <c r="AF177" s="15">
        <v>1.0</v>
      </c>
      <c r="AG177" s="15">
        <v>3.0</v>
      </c>
      <c r="AH177" s="15">
        <v>3.0</v>
      </c>
      <c r="AI177" s="15">
        <v>1.0</v>
      </c>
      <c r="AJ177" s="15">
        <v>1.0</v>
      </c>
      <c r="AN177" s="15">
        <v>3.0</v>
      </c>
      <c r="AO177" s="19" t="s">
        <v>65</v>
      </c>
      <c r="AP177" s="15">
        <v>21.0</v>
      </c>
      <c r="AQ177" s="15" t="s">
        <v>67</v>
      </c>
      <c r="AR177" s="15" t="s">
        <v>360</v>
      </c>
      <c r="AS177" s="15" t="s">
        <v>61</v>
      </c>
      <c r="AT177" s="15" t="s">
        <v>69</v>
      </c>
      <c r="AU177" s="15" t="s">
        <v>361</v>
      </c>
      <c r="AV177" s="15" t="s">
        <v>362</v>
      </c>
    </row>
    <row r="178">
      <c r="A178" s="14">
        <v>45068.9534659375</v>
      </c>
      <c r="B178" s="15" t="s">
        <v>53</v>
      </c>
      <c r="C178" s="15" t="s">
        <v>53</v>
      </c>
      <c r="D178" s="15" t="s">
        <v>85</v>
      </c>
      <c r="E178" s="15" t="s">
        <v>53</v>
      </c>
      <c r="F178" s="15">
        <v>5.0</v>
      </c>
      <c r="G178" s="15">
        <v>2.0</v>
      </c>
      <c r="H178" s="15">
        <v>1.0</v>
      </c>
      <c r="I178" s="15">
        <v>4.0</v>
      </c>
      <c r="J178" s="15">
        <v>3.0</v>
      </c>
      <c r="K178" s="15">
        <v>4.0</v>
      </c>
      <c r="L178" s="15">
        <v>3.0</v>
      </c>
      <c r="M178" s="15">
        <v>2.0</v>
      </c>
      <c r="N178" s="15">
        <v>2.0</v>
      </c>
      <c r="O178" s="15">
        <v>2.0</v>
      </c>
      <c r="P178" s="15">
        <v>2.0</v>
      </c>
      <c r="Q178" s="15" t="s">
        <v>64</v>
      </c>
      <c r="R178" s="15" t="s">
        <v>86</v>
      </c>
      <c r="S178" s="15" t="s">
        <v>56</v>
      </c>
      <c r="T178" s="22">
        <v>5.0</v>
      </c>
      <c r="U178" s="20">
        <f t="shared" ref="U178:U179" si="12">+3</f>
        <v>3</v>
      </c>
      <c r="V178" s="21" t="s">
        <v>54</v>
      </c>
      <c r="X178" s="15" t="s">
        <v>73</v>
      </c>
      <c r="Y178" s="15" t="s">
        <v>53</v>
      </c>
      <c r="Z178" s="15">
        <v>5.0</v>
      </c>
      <c r="AA178" s="15">
        <v>2.0</v>
      </c>
      <c r="AB178" s="15">
        <v>1.0</v>
      </c>
      <c r="AC178" s="15">
        <v>4.0</v>
      </c>
      <c r="AD178" s="15">
        <v>3.0</v>
      </c>
      <c r="AE178" s="15">
        <v>4.0</v>
      </c>
      <c r="AF178" s="15">
        <v>3.0</v>
      </c>
      <c r="AG178" s="15">
        <v>2.0</v>
      </c>
      <c r="AH178" s="15">
        <v>2.0</v>
      </c>
      <c r="AI178" s="15">
        <v>2.0</v>
      </c>
      <c r="AJ178" s="15">
        <v>2.0</v>
      </c>
      <c r="AN178" s="15">
        <v>4.0</v>
      </c>
      <c r="AO178" s="19" t="s">
        <v>54</v>
      </c>
      <c r="AP178" s="15">
        <v>22.0</v>
      </c>
      <c r="AQ178" s="15" t="s">
        <v>67</v>
      </c>
      <c r="AR178" s="15" t="s">
        <v>363</v>
      </c>
      <c r="AS178" s="15" t="s">
        <v>109</v>
      </c>
      <c r="AT178" s="15" t="s">
        <v>269</v>
      </c>
      <c r="AU178" s="15" t="s">
        <v>364</v>
      </c>
    </row>
    <row r="179">
      <c r="A179" s="14">
        <v>45068.95480553241</v>
      </c>
      <c r="B179" s="15" t="s">
        <v>53</v>
      </c>
      <c r="C179" s="15" t="s">
        <v>53</v>
      </c>
      <c r="D179" s="15" t="s">
        <v>72</v>
      </c>
      <c r="E179" s="15" t="s">
        <v>53</v>
      </c>
      <c r="F179" s="15">
        <v>4.0</v>
      </c>
      <c r="G179" s="15">
        <v>1.0</v>
      </c>
      <c r="H179" s="15">
        <v>1.0</v>
      </c>
      <c r="I179" s="15">
        <v>2.0</v>
      </c>
      <c r="J179" s="15">
        <v>3.0</v>
      </c>
      <c r="K179" s="15">
        <v>1.0</v>
      </c>
      <c r="L179" s="15">
        <v>4.0</v>
      </c>
      <c r="M179" s="15">
        <v>3.0</v>
      </c>
      <c r="N179" s="15">
        <v>1.0</v>
      </c>
      <c r="O179" s="15">
        <v>2.0</v>
      </c>
      <c r="P179" s="15">
        <v>2.0</v>
      </c>
      <c r="Q179" s="15" t="s">
        <v>55</v>
      </c>
      <c r="R179" s="15" t="s">
        <v>57</v>
      </c>
      <c r="S179" s="15" t="s">
        <v>92</v>
      </c>
      <c r="T179" s="22">
        <v>4.0</v>
      </c>
      <c r="U179" s="20">
        <f t="shared" si="12"/>
        <v>3</v>
      </c>
      <c r="V179" s="21" t="s">
        <v>54</v>
      </c>
      <c r="X179" s="15" t="s">
        <v>73</v>
      </c>
      <c r="Y179" s="15" t="s">
        <v>53</v>
      </c>
      <c r="Z179" s="15">
        <v>4.0</v>
      </c>
      <c r="AA179" s="15">
        <v>1.0</v>
      </c>
      <c r="AB179" s="15">
        <v>1.0</v>
      </c>
      <c r="AC179" s="15">
        <v>2.0</v>
      </c>
      <c r="AD179" s="15">
        <v>3.0</v>
      </c>
      <c r="AE179" s="15">
        <v>1.0</v>
      </c>
      <c r="AF179" s="15">
        <v>4.0</v>
      </c>
      <c r="AG179" s="15">
        <v>3.0</v>
      </c>
      <c r="AH179" s="15">
        <v>1.0</v>
      </c>
      <c r="AI179" s="15">
        <v>2.0</v>
      </c>
      <c r="AJ179" s="15">
        <v>2.0</v>
      </c>
      <c r="AN179" s="15">
        <v>4.0</v>
      </c>
      <c r="AO179" s="19" t="s">
        <v>54</v>
      </c>
      <c r="AP179" s="15">
        <v>54.0</v>
      </c>
      <c r="AQ179" s="15" t="s">
        <v>59</v>
      </c>
      <c r="AR179" s="15" t="s">
        <v>60</v>
      </c>
      <c r="AS179" s="15" t="s">
        <v>140</v>
      </c>
      <c r="AT179" s="15" t="s">
        <v>105</v>
      </c>
      <c r="AU179" s="15" t="s">
        <v>365</v>
      </c>
    </row>
    <row r="180">
      <c r="A180" s="14">
        <v>45068.961961875</v>
      </c>
      <c r="B180" s="15" t="s">
        <v>53</v>
      </c>
      <c r="C180" s="15" t="s">
        <v>53</v>
      </c>
      <c r="D180" s="15">
        <v>-2.0</v>
      </c>
      <c r="E180" s="15" t="s">
        <v>53</v>
      </c>
      <c r="F180" s="15">
        <v>4.0</v>
      </c>
      <c r="G180" s="15">
        <v>1.0</v>
      </c>
      <c r="H180" s="15">
        <v>1.0</v>
      </c>
      <c r="I180" s="15">
        <v>4.0</v>
      </c>
      <c r="J180" s="15">
        <v>3.0</v>
      </c>
      <c r="K180" s="15">
        <v>3.0</v>
      </c>
      <c r="L180" s="15">
        <v>4.0</v>
      </c>
      <c r="M180" s="15">
        <v>1.0</v>
      </c>
      <c r="N180" s="15">
        <v>1.0</v>
      </c>
      <c r="O180" s="15">
        <v>1.0</v>
      </c>
      <c r="P180" s="15">
        <v>1.0</v>
      </c>
      <c r="Q180" s="15" t="s">
        <v>64</v>
      </c>
      <c r="R180" s="15" t="s">
        <v>56</v>
      </c>
      <c r="S180" s="15" t="s">
        <v>55</v>
      </c>
      <c r="T180" s="23">
        <v>5.0</v>
      </c>
      <c r="U180" s="24">
        <f>+2</f>
        <v>2</v>
      </c>
      <c r="V180" s="21"/>
      <c r="X180" s="15" t="s">
        <v>77</v>
      </c>
      <c r="AO180" s="26"/>
      <c r="AP180" s="15">
        <v>21.0</v>
      </c>
      <c r="AQ180" s="15" t="s">
        <v>67</v>
      </c>
      <c r="AR180" s="15" t="s">
        <v>366</v>
      </c>
      <c r="AS180" s="15" t="s">
        <v>61</v>
      </c>
      <c r="AT180" s="15" t="s">
        <v>69</v>
      </c>
      <c r="AU180" s="15" t="s">
        <v>367</v>
      </c>
    </row>
    <row r="181">
      <c r="A181" s="14">
        <v>45068.9662719676</v>
      </c>
      <c r="B181" s="15" t="s">
        <v>53</v>
      </c>
      <c r="C181" s="15" t="s">
        <v>53</v>
      </c>
      <c r="D181" s="15">
        <v>-4.0</v>
      </c>
      <c r="E181" s="15" t="s">
        <v>53</v>
      </c>
      <c r="F181" s="15">
        <v>3.0</v>
      </c>
      <c r="G181" s="15">
        <v>3.0</v>
      </c>
      <c r="H181" s="15">
        <v>2.0</v>
      </c>
      <c r="I181" s="15">
        <v>3.0</v>
      </c>
      <c r="J181" s="15">
        <v>2.0</v>
      </c>
      <c r="K181" s="15">
        <v>4.0</v>
      </c>
      <c r="L181" s="15">
        <v>2.0</v>
      </c>
      <c r="M181" s="15">
        <v>1.0</v>
      </c>
      <c r="N181" s="15">
        <v>1.0</v>
      </c>
      <c r="O181" s="15">
        <v>1.0</v>
      </c>
      <c r="P181" s="15">
        <v>1.0</v>
      </c>
      <c r="Q181" s="15" t="s">
        <v>83</v>
      </c>
      <c r="R181" s="15" t="s">
        <v>57</v>
      </c>
      <c r="S181" s="15" t="s">
        <v>55</v>
      </c>
      <c r="T181" s="23">
        <v>4.0</v>
      </c>
      <c r="U181" s="24">
        <v>-1.0</v>
      </c>
      <c r="V181" s="25"/>
      <c r="W181" s="15" t="s">
        <v>368</v>
      </c>
      <c r="AO181" s="26"/>
      <c r="AP181" s="15">
        <v>22.0</v>
      </c>
      <c r="AQ181" s="15" t="s">
        <v>67</v>
      </c>
      <c r="AR181" s="15" t="s">
        <v>60</v>
      </c>
      <c r="AS181" s="15" t="s">
        <v>61</v>
      </c>
      <c r="AT181" s="15" t="s">
        <v>160</v>
      </c>
      <c r="AU181" s="15" t="s">
        <v>369</v>
      </c>
      <c r="AV181" s="15" t="s">
        <v>370</v>
      </c>
    </row>
    <row r="182">
      <c r="A182" s="14">
        <v>45068.98220061343</v>
      </c>
      <c r="B182" s="15" t="s">
        <v>53</v>
      </c>
      <c r="C182" s="15" t="s">
        <v>53</v>
      </c>
      <c r="D182" s="15" t="s">
        <v>65</v>
      </c>
      <c r="E182" s="15" t="s">
        <v>53</v>
      </c>
      <c r="F182" s="15">
        <v>2.0</v>
      </c>
      <c r="G182" s="15">
        <v>2.0</v>
      </c>
      <c r="H182" s="15">
        <v>2.0</v>
      </c>
      <c r="I182" s="15">
        <v>4.0</v>
      </c>
      <c r="J182" s="15">
        <v>3.0</v>
      </c>
      <c r="K182" s="15">
        <v>5.0</v>
      </c>
      <c r="L182" s="15">
        <v>2.0</v>
      </c>
      <c r="M182" s="15">
        <v>3.0</v>
      </c>
      <c r="N182" s="15">
        <v>4.0</v>
      </c>
      <c r="O182" s="15">
        <v>3.0</v>
      </c>
      <c r="P182" s="15">
        <v>3.0</v>
      </c>
      <c r="Q182" s="15" t="s">
        <v>55</v>
      </c>
      <c r="R182" s="15" t="s">
        <v>56</v>
      </c>
      <c r="S182" s="15" t="s">
        <v>57</v>
      </c>
      <c r="T182" s="22">
        <v>4.0</v>
      </c>
      <c r="U182" s="17">
        <v>-1.0</v>
      </c>
      <c r="V182" s="18">
        <v>-1.0</v>
      </c>
      <c r="W182" s="15" t="s">
        <v>80</v>
      </c>
      <c r="Y182" s="15" t="s">
        <v>53</v>
      </c>
      <c r="Z182" s="15">
        <v>2.0</v>
      </c>
      <c r="AA182" s="15">
        <v>2.0</v>
      </c>
      <c r="AB182" s="15">
        <v>2.0</v>
      </c>
      <c r="AC182" s="15">
        <v>4.0</v>
      </c>
      <c r="AD182" s="15">
        <v>3.0</v>
      </c>
      <c r="AE182" s="15">
        <v>5.0</v>
      </c>
      <c r="AF182" s="15">
        <v>2.0</v>
      </c>
      <c r="AG182" s="15">
        <v>3.0</v>
      </c>
      <c r="AH182" s="15">
        <v>4.0</v>
      </c>
      <c r="AI182" s="15">
        <v>3.0</v>
      </c>
      <c r="AJ182" s="15">
        <v>3.0</v>
      </c>
      <c r="AN182" s="15">
        <v>3.0</v>
      </c>
      <c r="AO182" s="19">
        <v>-1.0</v>
      </c>
      <c r="AP182" s="15">
        <v>25.0</v>
      </c>
      <c r="AQ182" s="15" t="s">
        <v>67</v>
      </c>
      <c r="AR182" s="15" t="s">
        <v>60</v>
      </c>
      <c r="AS182" s="15" t="s">
        <v>140</v>
      </c>
      <c r="AT182" s="15" t="s">
        <v>69</v>
      </c>
      <c r="AU182" s="15" t="s">
        <v>371</v>
      </c>
    </row>
    <row r="183">
      <c r="A183" s="14">
        <v>45068.98420960648</v>
      </c>
      <c r="B183" s="15" t="s">
        <v>53</v>
      </c>
      <c r="C183" s="15" t="s">
        <v>53</v>
      </c>
      <c r="D183" s="15">
        <v>-1.0</v>
      </c>
      <c r="E183" s="15" t="s">
        <v>53</v>
      </c>
      <c r="F183" s="15">
        <v>4.0</v>
      </c>
      <c r="G183" s="15">
        <v>1.0</v>
      </c>
      <c r="H183" s="15">
        <v>1.0</v>
      </c>
      <c r="I183" s="15">
        <v>4.0</v>
      </c>
      <c r="J183" s="15">
        <v>3.0</v>
      </c>
      <c r="K183" s="15">
        <v>5.0</v>
      </c>
      <c r="L183" s="15">
        <v>1.0</v>
      </c>
      <c r="M183" s="15">
        <v>3.0</v>
      </c>
      <c r="N183" s="15">
        <v>3.0</v>
      </c>
      <c r="O183" s="15">
        <v>3.0</v>
      </c>
      <c r="P183" s="15">
        <v>3.0</v>
      </c>
      <c r="Q183" s="15" t="s">
        <v>57</v>
      </c>
      <c r="R183" s="15" t="s">
        <v>64</v>
      </c>
      <c r="S183" s="15" t="s">
        <v>55</v>
      </c>
      <c r="T183" s="23">
        <v>2.0</v>
      </c>
      <c r="U183" s="24">
        <v>-3.0</v>
      </c>
      <c r="V183" s="25"/>
      <c r="W183" s="15" t="s">
        <v>58</v>
      </c>
      <c r="AO183" s="26"/>
      <c r="AP183" s="15">
        <v>22.0</v>
      </c>
      <c r="AQ183" s="15" t="s">
        <v>67</v>
      </c>
      <c r="AR183" s="15" t="s">
        <v>98</v>
      </c>
      <c r="AS183" s="15" t="s">
        <v>61</v>
      </c>
      <c r="AT183" s="15" t="s">
        <v>78</v>
      </c>
      <c r="AU183" s="15" t="s">
        <v>372</v>
      </c>
    </row>
    <row r="184">
      <c r="A184" s="14">
        <v>45069.00222282407</v>
      </c>
      <c r="B184" s="15" t="s">
        <v>53</v>
      </c>
      <c r="C184" s="15" t="s">
        <v>53</v>
      </c>
      <c r="D184" s="15">
        <v>-5.0</v>
      </c>
      <c r="E184" s="15" t="s">
        <v>53</v>
      </c>
      <c r="F184" s="15">
        <v>2.0</v>
      </c>
      <c r="G184" s="15">
        <v>3.0</v>
      </c>
      <c r="H184" s="15">
        <v>4.0</v>
      </c>
      <c r="I184" s="15">
        <v>3.0</v>
      </c>
      <c r="J184" s="15">
        <v>1.0</v>
      </c>
      <c r="K184" s="15">
        <v>2.0</v>
      </c>
      <c r="L184" s="15">
        <v>2.0</v>
      </c>
      <c r="M184" s="15">
        <v>2.0</v>
      </c>
      <c r="N184" s="15">
        <v>1.0</v>
      </c>
      <c r="O184" s="15">
        <v>1.0</v>
      </c>
      <c r="P184" s="15">
        <v>1.0</v>
      </c>
      <c r="Q184" s="15" t="s">
        <v>83</v>
      </c>
      <c r="R184" s="15" t="s">
        <v>55</v>
      </c>
      <c r="S184" s="15" t="s">
        <v>57</v>
      </c>
      <c r="T184" s="23">
        <v>5.0</v>
      </c>
      <c r="U184" s="24">
        <v>-2.0</v>
      </c>
      <c r="V184" s="25"/>
      <c r="W184" s="15" t="s">
        <v>80</v>
      </c>
      <c r="AO184" s="26"/>
      <c r="AP184" s="15">
        <v>24.0</v>
      </c>
      <c r="AQ184" s="15" t="s">
        <v>59</v>
      </c>
      <c r="AR184" s="15" t="s">
        <v>162</v>
      </c>
      <c r="AS184" s="15" t="s">
        <v>109</v>
      </c>
      <c r="AT184" s="15" t="s">
        <v>373</v>
      </c>
      <c r="AU184" s="15" t="s">
        <v>283</v>
      </c>
      <c r="AV184" s="15" t="s">
        <v>374</v>
      </c>
    </row>
    <row r="185">
      <c r="A185" s="14">
        <v>45069.00906765046</v>
      </c>
      <c r="B185" s="15" t="s">
        <v>53</v>
      </c>
      <c r="C185" s="15" t="s">
        <v>53</v>
      </c>
      <c r="D185" s="15">
        <v>-3.0</v>
      </c>
      <c r="E185" s="15" t="s">
        <v>53</v>
      </c>
      <c r="F185" s="15">
        <v>3.0</v>
      </c>
      <c r="G185" s="15">
        <v>4.0</v>
      </c>
      <c r="H185" s="15">
        <v>4.0</v>
      </c>
      <c r="I185" s="15">
        <v>3.0</v>
      </c>
      <c r="J185" s="15">
        <v>2.0</v>
      </c>
      <c r="K185" s="15">
        <v>2.0</v>
      </c>
      <c r="L185" s="15">
        <v>4.0</v>
      </c>
      <c r="M185" s="15">
        <v>4.0</v>
      </c>
      <c r="N185" s="15">
        <v>2.0</v>
      </c>
      <c r="O185" s="15">
        <v>1.0</v>
      </c>
      <c r="P185" s="15">
        <v>2.0</v>
      </c>
      <c r="Q185" s="15" t="s">
        <v>55</v>
      </c>
      <c r="R185" s="15" t="s">
        <v>86</v>
      </c>
      <c r="S185" s="15" t="s">
        <v>57</v>
      </c>
      <c r="T185" s="23">
        <v>3.0</v>
      </c>
      <c r="U185" s="24">
        <v>-3.0</v>
      </c>
      <c r="V185" s="25"/>
      <c r="W185" s="15" t="s">
        <v>80</v>
      </c>
      <c r="AO185" s="26"/>
      <c r="AP185" s="15">
        <v>22.0</v>
      </c>
      <c r="AQ185" s="15" t="s">
        <v>67</v>
      </c>
      <c r="AR185" s="15" t="s">
        <v>60</v>
      </c>
      <c r="AS185" s="15" t="s">
        <v>61</v>
      </c>
      <c r="AT185" s="15" t="s">
        <v>78</v>
      </c>
      <c r="AU185" s="15" t="s">
        <v>375</v>
      </c>
    </row>
    <row r="186">
      <c r="A186" s="14">
        <v>45069.022457824074</v>
      </c>
      <c r="B186" s="15" t="s">
        <v>53</v>
      </c>
      <c r="C186" s="15" t="s">
        <v>53</v>
      </c>
      <c r="D186" s="15" t="s">
        <v>85</v>
      </c>
      <c r="E186" s="15" t="s">
        <v>53</v>
      </c>
      <c r="F186" s="15">
        <v>2.0</v>
      </c>
      <c r="G186" s="15">
        <v>3.0</v>
      </c>
      <c r="H186" s="15">
        <v>3.0</v>
      </c>
      <c r="I186" s="15">
        <v>4.0</v>
      </c>
      <c r="J186" s="15">
        <v>3.0</v>
      </c>
      <c r="K186" s="15">
        <v>5.0</v>
      </c>
      <c r="L186" s="15">
        <v>1.0</v>
      </c>
      <c r="M186" s="15">
        <v>5.0</v>
      </c>
      <c r="N186" s="15">
        <v>4.0</v>
      </c>
      <c r="O186" s="15">
        <v>5.0</v>
      </c>
      <c r="P186" s="15">
        <v>5.0</v>
      </c>
      <c r="Q186" s="15" t="s">
        <v>64</v>
      </c>
      <c r="R186" s="15" t="s">
        <v>55</v>
      </c>
      <c r="S186" s="15" t="s">
        <v>107</v>
      </c>
      <c r="T186" s="22">
        <v>4.0</v>
      </c>
      <c r="U186" s="20">
        <f>+1</f>
        <v>1</v>
      </c>
      <c r="V186" s="21" t="s">
        <v>72</v>
      </c>
      <c r="X186" s="15" t="s">
        <v>113</v>
      </c>
      <c r="Y186" s="15" t="s">
        <v>53</v>
      </c>
      <c r="Z186" s="15">
        <v>2.0</v>
      </c>
      <c r="AA186" s="15">
        <v>3.0</v>
      </c>
      <c r="AB186" s="15">
        <v>3.0</v>
      </c>
      <c r="AC186" s="15">
        <v>4.0</v>
      </c>
      <c r="AD186" s="15">
        <v>3.0</v>
      </c>
      <c r="AE186" s="15">
        <v>5.0</v>
      </c>
      <c r="AF186" s="15">
        <v>1.0</v>
      </c>
      <c r="AG186" s="15">
        <v>5.0</v>
      </c>
      <c r="AH186" s="15">
        <v>4.0</v>
      </c>
      <c r="AI186" s="15">
        <v>5.0</v>
      </c>
      <c r="AJ186" s="15">
        <v>5.0</v>
      </c>
      <c r="AN186" s="15">
        <v>4.0</v>
      </c>
      <c r="AO186" s="19" t="s">
        <v>72</v>
      </c>
      <c r="AP186" s="15">
        <v>20.0</v>
      </c>
      <c r="AQ186" s="15" t="s">
        <v>67</v>
      </c>
      <c r="AR186" s="15" t="s">
        <v>60</v>
      </c>
      <c r="AS186" s="15" t="s">
        <v>109</v>
      </c>
      <c r="AT186" s="15" t="s">
        <v>69</v>
      </c>
      <c r="AU186" s="15" t="s">
        <v>376</v>
      </c>
    </row>
    <row r="187">
      <c r="A187" s="14">
        <v>45069.026585451385</v>
      </c>
      <c r="B187" s="15" t="s">
        <v>53</v>
      </c>
      <c r="C187" s="15" t="s">
        <v>53</v>
      </c>
      <c r="D187" s="15" t="s">
        <v>85</v>
      </c>
      <c r="E187" s="15" t="s">
        <v>53</v>
      </c>
      <c r="F187" s="15">
        <v>4.0</v>
      </c>
      <c r="G187" s="15">
        <v>1.0</v>
      </c>
      <c r="H187" s="15">
        <v>2.0</v>
      </c>
      <c r="I187" s="15">
        <v>5.0</v>
      </c>
      <c r="J187" s="15">
        <v>3.0</v>
      </c>
      <c r="K187" s="15">
        <v>3.0</v>
      </c>
      <c r="L187" s="15">
        <v>2.0</v>
      </c>
      <c r="M187" s="15">
        <v>2.0</v>
      </c>
      <c r="N187" s="15">
        <v>3.0</v>
      </c>
      <c r="O187" s="15">
        <v>3.0</v>
      </c>
      <c r="P187" s="15">
        <v>3.0</v>
      </c>
      <c r="Q187" s="15" t="s">
        <v>57</v>
      </c>
      <c r="R187" s="15" t="s">
        <v>86</v>
      </c>
      <c r="S187" s="15" t="s">
        <v>83</v>
      </c>
      <c r="T187" s="22">
        <v>4.0</v>
      </c>
      <c r="U187" s="20">
        <f>+3</f>
        <v>3</v>
      </c>
      <c r="V187" s="21" t="s">
        <v>54</v>
      </c>
      <c r="X187" s="15" t="s">
        <v>73</v>
      </c>
      <c r="Y187" s="15" t="s">
        <v>53</v>
      </c>
      <c r="Z187" s="15">
        <v>4.0</v>
      </c>
      <c r="AA187" s="15">
        <v>1.0</v>
      </c>
      <c r="AB187" s="15">
        <v>2.0</v>
      </c>
      <c r="AC187" s="15">
        <v>5.0</v>
      </c>
      <c r="AD187" s="15">
        <v>3.0</v>
      </c>
      <c r="AE187" s="15">
        <v>3.0</v>
      </c>
      <c r="AF187" s="15">
        <v>2.0</v>
      </c>
      <c r="AG187" s="15">
        <v>2.0</v>
      </c>
      <c r="AH187" s="15">
        <v>3.0</v>
      </c>
      <c r="AI187" s="15">
        <v>3.0</v>
      </c>
      <c r="AJ187" s="15">
        <v>3.0</v>
      </c>
      <c r="AN187" s="15">
        <v>5.0</v>
      </c>
      <c r="AO187" s="19" t="s">
        <v>54</v>
      </c>
      <c r="AP187" s="15">
        <v>19.0</v>
      </c>
      <c r="AQ187" s="15" t="s">
        <v>67</v>
      </c>
      <c r="AR187" s="15" t="s">
        <v>60</v>
      </c>
      <c r="AS187" s="15" t="s">
        <v>61</v>
      </c>
      <c r="AT187" s="15" t="s">
        <v>93</v>
      </c>
      <c r="AU187" s="15" t="s">
        <v>377</v>
      </c>
    </row>
    <row r="188">
      <c r="A188" s="14">
        <v>45069.03069078704</v>
      </c>
      <c r="B188" s="15" t="s">
        <v>53</v>
      </c>
      <c r="C188" s="15" t="s">
        <v>53</v>
      </c>
      <c r="D188" s="15" t="s">
        <v>65</v>
      </c>
      <c r="E188" s="15" t="s">
        <v>53</v>
      </c>
      <c r="F188" s="15">
        <v>4.0</v>
      </c>
      <c r="G188" s="15">
        <v>3.0</v>
      </c>
      <c r="H188" s="15">
        <v>4.0</v>
      </c>
      <c r="I188" s="15">
        <v>4.0</v>
      </c>
      <c r="J188" s="15">
        <v>3.0</v>
      </c>
      <c r="K188" s="15">
        <v>5.0</v>
      </c>
      <c r="L188" s="15">
        <v>2.0</v>
      </c>
      <c r="M188" s="15">
        <v>2.0</v>
      </c>
      <c r="N188" s="15">
        <v>4.0</v>
      </c>
      <c r="O188" s="15">
        <v>4.0</v>
      </c>
      <c r="P188" s="15">
        <v>4.0</v>
      </c>
      <c r="Q188" s="15" t="s">
        <v>64</v>
      </c>
      <c r="R188" s="15" t="s">
        <v>57</v>
      </c>
      <c r="S188" s="15" t="s">
        <v>55</v>
      </c>
      <c r="T188" s="22">
        <v>4.0</v>
      </c>
      <c r="U188" s="17">
        <v>-2.0</v>
      </c>
      <c r="V188" s="18">
        <v>-2.0</v>
      </c>
      <c r="W188" s="15" t="s">
        <v>58</v>
      </c>
      <c r="Y188" s="15" t="s">
        <v>53</v>
      </c>
      <c r="Z188" s="15">
        <v>4.0</v>
      </c>
      <c r="AA188" s="15">
        <v>3.0</v>
      </c>
      <c r="AB188" s="15">
        <v>4.0</v>
      </c>
      <c r="AC188" s="15">
        <v>4.0</v>
      </c>
      <c r="AD188" s="15">
        <v>3.0</v>
      </c>
      <c r="AE188" s="15">
        <v>5.0</v>
      </c>
      <c r="AF188" s="15">
        <v>2.0</v>
      </c>
      <c r="AG188" s="15">
        <v>2.0</v>
      </c>
      <c r="AH188" s="15">
        <v>4.0</v>
      </c>
      <c r="AI188" s="15">
        <v>4.0</v>
      </c>
      <c r="AJ188" s="15">
        <v>4.0</v>
      </c>
      <c r="AN188" s="15">
        <v>5.0</v>
      </c>
      <c r="AO188" s="19">
        <v>-2.0</v>
      </c>
      <c r="AP188" s="15">
        <v>22.0</v>
      </c>
      <c r="AQ188" s="15" t="s">
        <v>67</v>
      </c>
      <c r="AR188" s="15" t="s">
        <v>60</v>
      </c>
      <c r="AS188" s="15" t="s">
        <v>61</v>
      </c>
      <c r="AT188" s="15" t="s">
        <v>78</v>
      </c>
      <c r="AU188" s="15" t="s">
        <v>378</v>
      </c>
    </row>
    <row r="189">
      <c r="A189" s="14">
        <v>45069.032181608796</v>
      </c>
      <c r="B189" s="15" t="s">
        <v>53</v>
      </c>
      <c r="C189" s="15" t="s">
        <v>53</v>
      </c>
      <c r="D189" s="15" t="s">
        <v>72</v>
      </c>
      <c r="E189" s="15" t="s">
        <v>53</v>
      </c>
      <c r="F189" s="15">
        <v>5.0</v>
      </c>
      <c r="G189" s="15">
        <v>2.0</v>
      </c>
      <c r="H189" s="15">
        <v>2.0</v>
      </c>
      <c r="I189" s="15">
        <v>4.0</v>
      </c>
      <c r="J189" s="15">
        <v>5.0</v>
      </c>
      <c r="K189" s="15">
        <v>2.0</v>
      </c>
      <c r="L189" s="15">
        <v>3.0</v>
      </c>
      <c r="M189" s="15">
        <v>3.0</v>
      </c>
      <c r="N189" s="15">
        <v>1.0</v>
      </c>
      <c r="O189" s="15">
        <v>1.0</v>
      </c>
      <c r="P189" s="15">
        <v>1.0</v>
      </c>
      <c r="Q189" s="15" t="s">
        <v>55</v>
      </c>
      <c r="R189" s="15" t="s">
        <v>92</v>
      </c>
      <c r="S189" s="15" t="s">
        <v>57</v>
      </c>
      <c r="T189" s="22">
        <v>4.0</v>
      </c>
      <c r="U189" s="20">
        <f>+1</f>
        <v>1</v>
      </c>
      <c r="V189" s="21" t="s">
        <v>72</v>
      </c>
      <c r="X189" s="15" t="s">
        <v>77</v>
      </c>
      <c r="Y189" s="15" t="s">
        <v>53</v>
      </c>
      <c r="Z189" s="15">
        <v>5.0</v>
      </c>
      <c r="AA189" s="15">
        <v>2.0</v>
      </c>
      <c r="AB189" s="15">
        <v>2.0</v>
      </c>
      <c r="AC189" s="15">
        <v>4.0</v>
      </c>
      <c r="AD189" s="15">
        <v>5.0</v>
      </c>
      <c r="AE189" s="15">
        <v>2.0</v>
      </c>
      <c r="AF189" s="15">
        <v>3.0</v>
      </c>
      <c r="AG189" s="15">
        <v>3.0</v>
      </c>
      <c r="AH189" s="15">
        <v>1.0</v>
      </c>
      <c r="AI189" s="15">
        <v>1.0</v>
      </c>
      <c r="AJ189" s="15">
        <v>1.0</v>
      </c>
      <c r="AN189" s="15">
        <v>4.0</v>
      </c>
      <c r="AO189" s="19" t="s">
        <v>72</v>
      </c>
      <c r="AP189" s="15">
        <v>19.0</v>
      </c>
      <c r="AQ189" s="15" t="s">
        <v>67</v>
      </c>
      <c r="AR189" s="15" t="s">
        <v>60</v>
      </c>
      <c r="AS189" s="15" t="s">
        <v>61</v>
      </c>
      <c r="AT189" s="15" t="s">
        <v>78</v>
      </c>
      <c r="AU189" s="15" t="s">
        <v>379</v>
      </c>
      <c r="AV189" s="15" t="s">
        <v>129</v>
      </c>
    </row>
    <row r="190">
      <c r="A190" s="14">
        <v>45069.0359447338</v>
      </c>
      <c r="B190" s="15" t="s">
        <v>53</v>
      </c>
      <c r="C190" s="15" t="s">
        <v>53</v>
      </c>
      <c r="D190" s="15" t="s">
        <v>104</v>
      </c>
      <c r="E190" s="15" t="s">
        <v>53</v>
      </c>
      <c r="F190" s="15">
        <v>5.0</v>
      </c>
      <c r="G190" s="15">
        <v>1.0</v>
      </c>
      <c r="H190" s="15">
        <v>1.0</v>
      </c>
      <c r="I190" s="15">
        <v>5.0</v>
      </c>
      <c r="J190" s="15">
        <v>3.0</v>
      </c>
      <c r="K190" s="15">
        <v>4.0</v>
      </c>
      <c r="L190" s="15">
        <v>3.0</v>
      </c>
      <c r="M190" s="15">
        <v>3.0</v>
      </c>
      <c r="N190" s="15">
        <v>3.0</v>
      </c>
      <c r="O190" s="15">
        <v>3.0</v>
      </c>
      <c r="P190" s="15">
        <v>2.0</v>
      </c>
      <c r="Q190" s="15" t="s">
        <v>64</v>
      </c>
      <c r="R190" s="15" t="s">
        <v>56</v>
      </c>
      <c r="S190" s="15" t="s">
        <v>86</v>
      </c>
      <c r="T190" s="22">
        <v>3.0</v>
      </c>
      <c r="U190" s="20">
        <f>+5</f>
        <v>5</v>
      </c>
      <c r="V190" s="21" t="s">
        <v>104</v>
      </c>
      <c r="X190" s="15" t="s">
        <v>108</v>
      </c>
      <c r="Y190" s="15" t="s">
        <v>53</v>
      </c>
      <c r="Z190" s="15">
        <v>5.0</v>
      </c>
      <c r="AA190" s="15">
        <v>1.0</v>
      </c>
      <c r="AB190" s="15">
        <v>1.0</v>
      </c>
      <c r="AC190" s="15">
        <v>5.0</v>
      </c>
      <c r="AD190" s="15">
        <v>3.0</v>
      </c>
      <c r="AE190" s="15">
        <v>4.0</v>
      </c>
      <c r="AF190" s="15">
        <v>3.0</v>
      </c>
      <c r="AG190" s="15">
        <v>3.0</v>
      </c>
      <c r="AH190" s="15">
        <v>3.0</v>
      </c>
      <c r="AI190" s="15">
        <v>3.0</v>
      </c>
      <c r="AJ190" s="15">
        <v>2.0</v>
      </c>
      <c r="AN190" s="15">
        <v>3.0</v>
      </c>
      <c r="AO190" s="19" t="s">
        <v>104</v>
      </c>
      <c r="AP190" s="15">
        <v>21.0</v>
      </c>
      <c r="AQ190" s="15" t="s">
        <v>67</v>
      </c>
      <c r="AR190" s="15" t="s">
        <v>380</v>
      </c>
      <c r="AS190" s="15" t="s">
        <v>109</v>
      </c>
      <c r="AT190" s="15" t="s">
        <v>381</v>
      </c>
      <c r="AU190" s="15" t="s">
        <v>382</v>
      </c>
    </row>
    <row r="191">
      <c r="A191" s="14">
        <v>45069.04122601852</v>
      </c>
      <c r="B191" s="15" t="s">
        <v>53</v>
      </c>
      <c r="C191" s="15" t="s">
        <v>53</v>
      </c>
      <c r="D191" s="15">
        <v>-3.0</v>
      </c>
      <c r="E191" s="15" t="s">
        <v>53</v>
      </c>
      <c r="F191" s="15">
        <v>4.0</v>
      </c>
      <c r="G191" s="15">
        <v>2.0</v>
      </c>
      <c r="H191" s="15">
        <v>3.0</v>
      </c>
      <c r="I191" s="15">
        <v>4.0</v>
      </c>
      <c r="J191" s="15">
        <v>2.0</v>
      </c>
      <c r="K191" s="15">
        <v>3.0</v>
      </c>
      <c r="L191" s="15">
        <v>2.0</v>
      </c>
      <c r="M191" s="15">
        <v>2.0</v>
      </c>
      <c r="N191" s="15">
        <v>2.0</v>
      </c>
      <c r="O191" s="15">
        <v>2.0</v>
      </c>
      <c r="P191" s="15">
        <v>3.0</v>
      </c>
      <c r="Q191" s="15" t="s">
        <v>55</v>
      </c>
      <c r="R191" s="15" t="s">
        <v>83</v>
      </c>
      <c r="S191" s="15" t="s">
        <v>56</v>
      </c>
      <c r="T191" s="23">
        <v>5.0</v>
      </c>
      <c r="U191" s="24">
        <v>-2.0</v>
      </c>
      <c r="V191" s="25"/>
      <c r="W191" s="15" t="s">
        <v>58</v>
      </c>
      <c r="AO191" s="26"/>
      <c r="AP191" s="15">
        <v>23.0</v>
      </c>
      <c r="AQ191" s="15" t="s">
        <v>67</v>
      </c>
      <c r="AR191" s="15" t="s">
        <v>120</v>
      </c>
      <c r="AS191" s="15" t="s">
        <v>61</v>
      </c>
      <c r="AT191" s="15" t="s">
        <v>99</v>
      </c>
      <c r="AU191" s="15" t="s">
        <v>383</v>
      </c>
    </row>
    <row r="192">
      <c r="A192" s="14">
        <v>45069.073719699074</v>
      </c>
      <c r="B192" s="15" t="s">
        <v>53</v>
      </c>
      <c r="C192" s="15" t="s">
        <v>53</v>
      </c>
      <c r="D192" s="15">
        <v>-4.0</v>
      </c>
      <c r="E192" s="15" t="s">
        <v>53</v>
      </c>
      <c r="F192" s="15">
        <v>3.0</v>
      </c>
      <c r="G192" s="15">
        <v>4.0</v>
      </c>
      <c r="H192" s="15">
        <v>2.0</v>
      </c>
      <c r="I192" s="15">
        <v>4.0</v>
      </c>
      <c r="J192" s="15">
        <v>2.0</v>
      </c>
      <c r="K192" s="15">
        <v>1.0</v>
      </c>
      <c r="L192" s="15">
        <v>4.0</v>
      </c>
      <c r="M192" s="15">
        <v>4.0</v>
      </c>
      <c r="N192" s="15">
        <v>1.0</v>
      </c>
      <c r="O192" s="15">
        <v>1.0</v>
      </c>
      <c r="P192" s="15">
        <v>1.0</v>
      </c>
      <c r="Q192" s="15" t="s">
        <v>55</v>
      </c>
      <c r="R192" s="15" t="s">
        <v>57</v>
      </c>
      <c r="S192" s="15" t="s">
        <v>56</v>
      </c>
      <c r="T192" s="23">
        <v>4.0</v>
      </c>
      <c r="U192" s="24">
        <v>-3.0</v>
      </c>
      <c r="V192" s="25"/>
      <c r="W192" s="15" t="s">
        <v>80</v>
      </c>
      <c r="AO192" s="26"/>
      <c r="AP192" s="15">
        <v>22.0</v>
      </c>
      <c r="AQ192" s="15" t="s">
        <v>67</v>
      </c>
      <c r="AR192" s="15" t="s">
        <v>60</v>
      </c>
      <c r="AS192" s="15" t="s">
        <v>61</v>
      </c>
      <c r="AT192" s="15" t="s">
        <v>69</v>
      </c>
      <c r="AU192" s="15" t="s">
        <v>384</v>
      </c>
    </row>
    <row r="193">
      <c r="A193" s="14">
        <v>45069.08667783564</v>
      </c>
      <c r="B193" s="15" t="s">
        <v>53</v>
      </c>
      <c r="C193" s="15" t="s">
        <v>53</v>
      </c>
      <c r="D193" s="15" t="s">
        <v>72</v>
      </c>
      <c r="E193" s="15" t="s">
        <v>53</v>
      </c>
      <c r="F193" s="15">
        <v>4.0</v>
      </c>
      <c r="G193" s="15">
        <v>2.0</v>
      </c>
      <c r="H193" s="15">
        <v>2.0</v>
      </c>
      <c r="I193" s="15">
        <v>3.0</v>
      </c>
      <c r="J193" s="15">
        <v>4.0</v>
      </c>
      <c r="K193" s="15">
        <v>2.0</v>
      </c>
      <c r="L193" s="15">
        <v>3.0</v>
      </c>
      <c r="M193" s="15">
        <v>2.0</v>
      </c>
      <c r="N193" s="15">
        <v>3.0</v>
      </c>
      <c r="O193" s="15">
        <v>2.0</v>
      </c>
      <c r="P193" s="15">
        <v>2.0</v>
      </c>
      <c r="Q193" s="15" t="s">
        <v>64</v>
      </c>
      <c r="R193" s="15" t="s">
        <v>86</v>
      </c>
      <c r="S193" s="15" t="s">
        <v>55</v>
      </c>
      <c r="T193" s="22">
        <v>4.0</v>
      </c>
      <c r="U193" s="20">
        <f>+3</f>
        <v>3</v>
      </c>
      <c r="V193" s="21" t="s">
        <v>54</v>
      </c>
      <c r="X193" s="15" t="s">
        <v>73</v>
      </c>
      <c r="Y193" s="15" t="s">
        <v>53</v>
      </c>
      <c r="Z193" s="15">
        <v>4.0</v>
      </c>
      <c r="AA193" s="15">
        <v>2.0</v>
      </c>
      <c r="AB193" s="15">
        <v>2.0</v>
      </c>
      <c r="AC193" s="15">
        <v>3.0</v>
      </c>
      <c r="AD193" s="15">
        <v>4.0</v>
      </c>
      <c r="AE193" s="15">
        <v>2.0</v>
      </c>
      <c r="AF193" s="15">
        <v>3.0</v>
      </c>
      <c r="AG193" s="15">
        <v>2.0</v>
      </c>
      <c r="AH193" s="15">
        <v>3.0</v>
      </c>
      <c r="AI193" s="15">
        <v>2.0</v>
      </c>
      <c r="AJ193" s="15">
        <v>2.0</v>
      </c>
      <c r="AN193" s="15">
        <v>5.0</v>
      </c>
      <c r="AO193" s="19" t="s">
        <v>54</v>
      </c>
      <c r="AP193" s="15">
        <v>20.0</v>
      </c>
      <c r="AQ193" s="15" t="s">
        <v>59</v>
      </c>
      <c r="AR193" s="15" t="s">
        <v>60</v>
      </c>
      <c r="AS193" s="15" t="s">
        <v>61</v>
      </c>
      <c r="AT193" s="15" t="s">
        <v>69</v>
      </c>
      <c r="AU193" s="15" t="s">
        <v>385</v>
      </c>
    </row>
    <row r="194">
      <c r="A194" s="14">
        <v>45069.100562430554</v>
      </c>
      <c r="B194" s="15" t="s">
        <v>53</v>
      </c>
      <c r="C194" s="15" t="s">
        <v>53</v>
      </c>
      <c r="D194" s="15" t="s">
        <v>85</v>
      </c>
      <c r="E194" s="15" t="s">
        <v>53</v>
      </c>
      <c r="F194" s="15">
        <v>2.0</v>
      </c>
      <c r="G194" s="15">
        <v>4.0</v>
      </c>
      <c r="H194" s="15">
        <v>4.0</v>
      </c>
      <c r="I194" s="15">
        <v>5.0</v>
      </c>
      <c r="J194" s="15">
        <v>2.0</v>
      </c>
      <c r="K194" s="15">
        <v>4.0</v>
      </c>
      <c r="L194" s="15">
        <v>2.0</v>
      </c>
      <c r="M194" s="15">
        <v>3.0</v>
      </c>
      <c r="N194" s="15">
        <v>3.0</v>
      </c>
      <c r="O194" s="15">
        <v>3.0</v>
      </c>
      <c r="P194" s="15">
        <v>4.0</v>
      </c>
      <c r="Q194" s="15" t="s">
        <v>55</v>
      </c>
      <c r="R194" s="15" t="s">
        <v>83</v>
      </c>
      <c r="S194" s="15" t="s">
        <v>56</v>
      </c>
      <c r="T194" s="22">
        <v>4.0</v>
      </c>
      <c r="U194" s="17">
        <v>-3.0</v>
      </c>
      <c r="V194" s="18">
        <v>-3.0</v>
      </c>
      <c r="W194" s="15" t="s">
        <v>80</v>
      </c>
      <c r="Y194" s="15" t="s">
        <v>53</v>
      </c>
      <c r="Z194" s="15">
        <v>2.0</v>
      </c>
      <c r="AA194" s="15">
        <v>4.0</v>
      </c>
      <c r="AB194" s="15">
        <v>4.0</v>
      </c>
      <c r="AC194" s="15">
        <v>5.0</v>
      </c>
      <c r="AD194" s="15">
        <v>2.0</v>
      </c>
      <c r="AE194" s="15">
        <v>4.0</v>
      </c>
      <c r="AF194" s="15">
        <v>2.0</v>
      </c>
      <c r="AG194" s="15">
        <v>3.0</v>
      </c>
      <c r="AH194" s="15">
        <v>3.0</v>
      </c>
      <c r="AI194" s="15">
        <v>3.0</v>
      </c>
      <c r="AJ194" s="15">
        <v>4.0</v>
      </c>
      <c r="AN194" s="15">
        <v>4.0</v>
      </c>
      <c r="AO194" s="19">
        <v>-3.0</v>
      </c>
      <c r="AP194" s="15">
        <v>24.0</v>
      </c>
      <c r="AQ194" s="15" t="s">
        <v>67</v>
      </c>
      <c r="AR194" s="15" t="s">
        <v>60</v>
      </c>
      <c r="AS194" s="15" t="s">
        <v>61</v>
      </c>
      <c r="AT194" s="15" t="s">
        <v>81</v>
      </c>
      <c r="AU194" s="15" t="s">
        <v>386</v>
      </c>
    </row>
    <row r="195">
      <c r="A195" s="14">
        <v>45069.106716574075</v>
      </c>
      <c r="B195" s="15" t="s">
        <v>53</v>
      </c>
      <c r="C195" s="15" t="s">
        <v>53</v>
      </c>
      <c r="D195" s="15" t="s">
        <v>54</v>
      </c>
      <c r="E195" s="15" t="s">
        <v>53</v>
      </c>
      <c r="F195" s="15">
        <v>5.0</v>
      </c>
      <c r="G195" s="15">
        <v>1.0</v>
      </c>
      <c r="H195" s="15">
        <v>1.0</v>
      </c>
      <c r="I195" s="15">
        <v>5.0</v>
      </c>
      <c r="J195" s="15">
        <v>5.0</v>
      </c>
      <c r="K195" s="15">
        <v>2.0</v>
      </c>
      <c r="L195" s="15">
        <v>2.0</v>
      </c>
      <c r="M195" s="15">
        <v>4.0</v>
      </c>
      <c r="N195" s="15">
        <v>3.0</v>
      </c>
      <c r="O195" s="15">
        <v>3.0</v>
      </c>
      <c r="P195" s="15">
        <v>5.0</v>
      </c>
      <c r="Q195" s="15" t="s">
        <v>55</v>
      </c>
      <c r="R195" s="15" t="s">
        <v>56</v>
      </c>
      <c r="S195" s="15" t="s">
        <v>57</v>
      </c>
      <c r="T195" s="22">
        <v>5.0</v>
      </c>
      <c r="U195" s="20">
        <f>+3</f>
        <v>3</v>
      </c>
      <c r="V195" s="21" t="s">
        <v>54</v>
      </c>
      <c r="X195" s="15" t="s">
        <v>77</v>
      </c>
      <c r="Y195" s="15" t="s">
        <v>53</v>
      </c>
      <c r="Z195" s="15">
        <v>5.0</v>
      </c>
      <c r="AA195" s="15">
        <v>1.0</v>
      </c>
      <c r="AB195" s="15">
        <v>1.0</v>
      </c>
      <c r="AC195" s="15">
        <v>5.0</v>
      </c>
      <c r="AD195" s="15">
        <v>5.0</v>
      </c>
      <c r="AE195" s="15">
        <v>2.0</v>
      </c>
      <c r="AF195" s="15">
        <v>2.0</v>
      </c>
      <c r="AG195" s="15">
        <v>4.0</v>
      </c>
      <c r="AH195" s="15">
        <v>3.0</v>
      </c>
      <c r="AI195" s="15">
        <v>3.0</v>
      </c>
      <c r="AJ195" s="15">
        <v>5.0</v>
      </c>
      <c r="AN195" s="15">
        <v>5.0</v>
      </c>
      <c r="AO195" s="19" t="s">
        <v>54</v>
      </c>
      <c r="AP195" s="15">
        <v>21.0</v>
      </c>
      <c r="AQ195" s="15" t="s">
        <v>67</v>
      </c>
      <c r="AR195" s="15" t="s">
        <v>60</v>
      </c>
      <c r="AS195" s="15" t="s">
        <v>61</v>
      </c>
      <c r="AT195" s="15" t="s">
        <v>125</v>
      </c>
      <c r="AU195" s="15" t="s">
        <v>387</v>
      </c>
      <c r="AV195" s="15" t="s">
        <v>129</v>
      </c>
    </row>
    <row r="196">
      <c r="A196" s="14">
        <v>45069.14634502315</v>
      </c>
      <c r="B196" s="15" t="s">
        <v>53</v>
      </c>
      <c r="C196" s="15" t="s">
        <v>53</v>
      </c>
      <c r="D196" s="15" t="s">
        <v>85</v>
      </c>
      <c r="E196" s="15" t="s">
        <v>53</v>
      </c>
      <c r="F196" s="15">
        <v>3.0</v>
      </c>
      <c r="G196" s="15">
        <v>3.0</v>
      </c>
      <c r="H196" s="15">
        <v>2.0</v>
      </c>
      <c r="I196" s="15">
        <v>5.0</v>
      </c>
      <c r="J196" s="15">
        <v>2.0</v>
      </c>
      <c r="K196" s="15">
        <v>5.0</v>
      </c>
      <c r="L196" s="15">
        <v>1.0</v>
      </c>
      <c r="M196" s="15">
        <v>4.0</v>
      </c>
      <c r="N196" s="15">
        <v>4.0</v>
      </c>
      <c r="O196" s="15">
        <v>4.0</v>
      </c>
      <c r="P196" s="15">
        <v>4.0</v>
      </c>
      <c r="Q196" s="15" t="s">
        <v>64</v>
      </c>
      <c r="R196" s="15" t="s">
        <v>55</v>
      </c>
      <c r="S196" s="15" t="s">
        <v>57</v>
      </c>
      <c r="T196" s="22">
        <v>5.0</v>
      </c>
      <c r="U196" s="17">
        <v>-4.0</v>
      </c>
      <c r="V196" s="18">
        <v>-4.0</v>
      </c>
      <c r="W196" s="15" t="s">
        <v>66</v>
      </c>
      <c r="Y196" s="15" t="s">
        <v>53</v>
      </c>
      <c r="Z196" s="15">
        <v>3.0</v>
      </c>
      <c r="AA196" s="15">
        <v>3.0</v>
      </c>
      <c r="AB196" s="15">
        <v>2.0</v>
      </c>
      <c r="AC196" s="15">
        <v>5.0</v>
      </c>
      <c r="AD196" s="15">
        <v>2.0</v>
      </c>
      <c r="AE196" s="15">
        <v>5.0</v>
      </c>
      <c r="AF196" s="15">
        <v>1.0</v>
      </c>
      <c r="AG196" s="15">
        <v>4.0</v>
      </c>
      <c r="AH196" s="15">
        <v>4.0</v>
      </c>
      <c r="AI196" s="15">
        <v>4.0</v>
      </c>
      <c r="AJ196" s="15">
        <v>4.0</v>
      </c>
      <c r="AN196" s="15">
        <v>2.0</v>
      </c>
      <c r="AO196" s="19">
        <v>-4.0</v>
      </c>
      <c r="AP196" s="15">
        <v>23.0</v>
      </c>
      <c r="AQ196" s="15" t="s">
        <v>67</v>
      </c>
      <c r="AR196" s="15" t="s">
        <v>388</v>
      </c>
      <c r="AS196" s="15" t="s">
        <v>140</v>
      </c>
      <c r="AT196" s="15" t="s">
        <v>78</v>
      </c>
      <c r="AU196" s="15" t="s">
        <v>389</v>
      </c>
    </row>
    <row r="197">
      <c r="A197" s="14">
        <v>45069.27528447917</v>
      </c>
      <c r="B197" s="15" t="s">
        <v>53</v>
      </c>
      <c r="C197" s="15" t="s">
        <v>53</v>
      </c>
      <c r="D197" s="15">
        <v>-5.0</v>
      </c>
      <c r="E197" s="15" t="s">
        <v>53</v>
      </c>
      <c r="F197" s="15">
        <v>3.0</v>
      </c>
      <c r="G197" s="15">
        <v>2.0</v>
      </c>
      <c r="H197" s="15">
        <v>3.0</v>
      </c>
      <c r="I197" s="15">
        <v>2.0</v>
      </c>
      <c r="J197" s="15">
        <v>4.0</v>
      </c>
      <c r="K197" s="15">
        <v>3.0</v>
      </c>
      <c r="L197" s="15">
        <v>3.0</v>
      </c>
      <c r="M197" s="15">
        <v>2.0</v>
      </c>
      <c r="N197" s="15">
        <v>2.0</v>
      </c>
      <c r="O197" s="15">
        <v>1.0</v>
      </c>
      <c r="P197" s="15">
        <v>2.0</v>
      </c>
      <c r="Q197" s="15" t="s">
        <v>57</v>
      </c>
      <c r="R197" s="15" t="s">
        <v>83</v>
      </c>
      <c r="S197" s="15" t="s">
        <v>86</v>
      </c>
      <c r="T197" s="23">
        <v>4.0</v>
      </c>
      <c r="U197" s="24">
        <v>-5.0</v>
      </c>
      <c r="V197" s="25"/>
      <c r="W197" s="15" t="s">
        <v>58</v>
      </c>
      <c r="AO197" s="26"/>
      <c r="AP197" s="15">
        <v>19.0</v>
      </c>
      <c r="AQ197" s="15" t="s">
        <v>59</v>
      </c>
      <c r="AR197" s="15" t="s">
        <v>60</v>
      </c>
      <c r="AS197" s="15" t="s">
        <v>109</v>
      </c>
      <c r="AT197" s="15" t="s">
        <v>93</v>
      </c>
      <c r="AU197" s="15" t="s">
        <v>390</v>
      </c>
    </row>
    <row r="198">
      <c r="A198" s="14">
        <v>45069.30164479167</v>
      </c>
      <c r="B198" s="15" t="s">
        <v>53</v>
      </c>
      <c r="C198" s="15" t="s">
        <v>53</v>
      </c>
      <c r="D198" s="15" t="s">
        <v>104</v>
      </c>
      <c r="E198" s="15" t="s">
        <v>97</v>
      </c>
      <c r="F198" s="15">
        <v>3.0</v>
      </c>
      <c r="G198" s="15">
        <v>3.0</v>
      </c>
      <c r="H198" s="15">
        <v>2.0</v>
      </c>
      <c r="I198" s="15">
        <v>2.0</v>
      </c>
      <c r="J198" s="15">
        <v>1.0</v>
      </c>
      <c r="K198" s="15">
        <v>4.0</v>
      </c>
      <c r="L198" s="15">
        <v>1.0</v>
      </c>
      <c r="M198" s="15">
        <v>4.0</v>
      </c>
      <c r="N198" s="15">
        <v>4.0</v>
      </c>
      <c r="O198" s="15">
        <v>5.0</v>
      </c>
      <c r="P198" s="15">
        <v>5.0</v>
      </c>
      <c r="Q198" s="15" t="s">
        <v>55</v>
      </c>
      <c r="R198" s="15" t="s">
        <v>56</v>
      </c>
      <c r="S198" s="15" t="s">
        <v>83</v>
      </c>
      <c r="T198" s="22">
        <v>3.0</v>
      </c>
      <c r="U198" s="17">
        <v>-3.0</v>
      </c>
      <c r="V198" s="18">
        <v>-3.0</v>
      </c>
      <c r="W198" s="15" t="s">
        <v>66</v>
      </c>
      <c r="Y198" s="15" t="s">
        <v>97</v>
      </c>
      <c r="Z198" s="15">
        <v>3.0</v>
      </c>
      <c r="AA198" s="15">
        <v>3.0</v>
      </c>
      <c r="AB198" s="15">
        <v>2.0</v>
      </c>
      <c r="AC198" s="15">
        <v>2.0</v>
      </c>
      <c r="AD198" s="15">
        <v>1.0</v>
      </c>
      <c r="AE198" s="15">
        <v>4.0</v>
      </c>
      <c r="AF198" s="15">
        <v>1.0</v>
      </c>
      <c r="AG198" s="15">
        <v>4.0</v>
      </c>
      <c r="AH198" s="15">
        <v>4.0</v>
      </c>
      <c r="AI198" s="15">
        <v>5.0</v>
      </c>
      <c r="AJ198" s="15">
        <v>5.0</v>
      </c>
      <c r="AN198" s="15">
        <v>3.0</v>
      </c>
      <c r="AO198" s="19">
        <v>-3.0</v>
      </c>
      <c r="AP198" s="15">
        <v>25.0</v>
      </c>
      <c r="AQ198" s="15" t="s">
        <v>59</v>
      </c>
      <c r="AR198" s="15" t="s">
        <v>391</v>
      </c>
      <c r="AS198" s="15" t="s">
        <v>61</v>
      </c>
      <c r="AT198" s="15" t="s">
        <v>93</v>
      </c>
      <c r="AU198" s="15" t="s">
        <v>392</v>
      </c>
    </row>
    <row r="199">
      <c r="A199" s="14">
        <v>45069.37739646991</v>
      </c>
      <c r="B199" s="15" t="s">
        <v>53</v>
      </c>
      <c r="C199" s="15" t="s">
        <v>53</v>
      </c>
      <c r="D199" s="15">
        <v>-4.0</v>
      </c>
      <c r="E199" s="15" t="s">
        <v>53</v>
      </c>
      <c r="F199" s="15">
        <v>2.0</v>
      </c>
      <c r="G199" s="15">
        <v>4.0</v>
      </c>
      <c r="H199" s="15">
        <v>4.0</v>
      </c>
      <c r="I199" s="15">
        <v>5.0</v>
      </c>
      <c r="J199" s="15">
        <v>3.0</v>
      </c>
      <c r="K199" s="15">
        <v>5.0</v>
      </c>
      <c r="L199" s="15">
        <v>1.0</v>
      </c>
      <c r="M199" s="15">
        <v>4.0</v>
      </c>
      <c r="N199" s="15">
        <v>4.0</v>
      </c>
      <c r="O199" s="15">
        <v>4.0</v>
      </c>
      <c r="P199" s="15">
        <v>4.0</v>
      </c>
      <c r="Q199" s="15" t="s">
        <v>55</v>
      </c>
      <c r="R199" s="15" t="s">
        <v>56</v>
      </c>
      <c r="S199" s="15" t="s">
        <v>83</v>
      </c>
      <c r="T199" s="23">
        <v>4.0</v>
      </c>
      <c r="U199" s="24">
        <v>-4.0</v>
      </c>
      <c r="V199" s="25"/>
      <c r="W199" s="15" t="s">
        <v>80</v>
      </c>
      <c r="AO199" s="26"/>
      <c r="AP199" s="15">
        <v>28.0</v>
      </c>
      <c r="AQ199" s="15" t="s">
        <v>67</v>
      </c>
      <c r="AR199" s="15" t="s">
        <v>60</v>
      </c>
      <c r="AS199" s="15" t="s">
        <v>61</v>
      </c>
      <c r="AT199" s="15" t="s">
        <v>352</v>
      </c>
      <c r="AU199" s="15" t="s">
        <v>393</v>
      </c>
    </row>
    <row r="200">
      <c r="A200" s="14">
        <v>45069.40157494213</v>
      </c>
      <c r="B200" s="15" t="s">
        <v>53</v>
      </c>
      <c r="C200" s="15" t="s">
        <v>53</v>
      </c>
      <c r="D200" s="15">
        <v>-1.0</v>
      </c>
      <c r="E200" s="15" t="s">
        <v>53</v>
      </c>
      <c r="F200" s="15">
        <v>3.0</v>
      </c>
      <c r="G200" s="15">
        <v>4.0</v>
      </c>
      <c r="H200" s="15">
        <v>3.0</v>
      </c>
      <c r="I200" s="15">
        <v>5.0</v>
      </c>
      <c r="J200" s="15">
        <v>2.0</v>
      </c>
      <c r="K200" s="15">
        <v>4.0</v>
      </c>
      <c r="L200" s="15">
        <v>1.0</v>
      </c>
      <c r="M200" s="15">
        <v>3.0</v>
      </c>
      <c r="N200" s="15">
        <v>4.0</v>
      </c>
      <c r="O200" s="15">
        <v>4.0</v>
      </c>
      <c r="P200" s="15">
        <v>4.0</v>
      </c>
      <c r="Q200" s="15" t="s">
        <v>55</v>
      </c>
      <c r="R200" s="15" t="s">
        <v>56</v>
      </c>
      <c r="S200" s="15" t="s">
        <v>92</v>
      </c>
      <c r="T200" s="23">
        <v>5.0</v>
      </c>
      <c r="U200" s="24">
        <v>-2.0</v>
      </c>
      <c r="V200" s="25"/>
      <c r="W200" s="15" t="s">
        <v>80</v>
      </c>
      <c r="AO200" s="26"/>
      <c r="AP200" s="15">
        <v>21.0</v>
      </c>
      <c r="AQ200" s="15" t="s">
        <v>67</v>
      </c>
      <c r="AR200" s="15" t="s">
        <v>60</v>
      </c>
      <c r="AS200" s="15" t="s">
        <v>61</v>
      </c>
      <c r="AT200" s="15" t="s">
        <v>78</v>
      </c>
      <c r="AU200" s="15" t="s">
        <v>394</v>
      </c>
    </row>
    <row r="201">
      <c r="A201" s="14">
        <v>45069.409141122684</v>
      </c>
      <c r="B201" s="15" t="s">
        <v>53</v>
      </c>
      <c r="C201" s="15" t="s">
        <v>53</v>
      </c>
      <c r="D201" s="15" t="s">
        <v>72</v>
      </c>
      <c r="E201" s="15" t="s">
        <v>53</v>
      </c>
      <c r="F201" s="15">
        <v>5.0</v>
      </c>
      <c r="G201" s="15">
        <v>2.0</v>
      </c>
      <c r="H201" s="15">
        <v>2.0</v>
      </c>
      <c r="I201" s="15">
        <v>3.0</v>
      </c>
      <c r="J201" s="15">
        <v>3.0</v>
      </c>
      <c r="K201" s="15">
        <v>3.0</v>
      </c>
      <c r="L201" s="15">
        <v>1.0</v>
      </c>
      <c r="M201" s="15">
        <v>3.0</v>
      </c>
      <c r="N201" s="15">
        <v>3.0</v>
      </c>
      <c r="O201" s="15">
        <v>3.0</v>
      </c>
      <c r="P201" s="15">
        <v>3.0</v>
      </c>
      <c r="Q201" s="15" t="s">
        <v>64</v>
      </c>
      <c r="R201" s="15" t="s">
        <v>57</v>
      </c>
      <c r="S201" s="15" t="s">
        <v>86</v>
      </c>
      <c r="T201" s="22">
        <v>5.0</v>
      </c>
      <c r="U201" s="20">
        <f>+1</f>
        <v>1</v>
      </c>
      <c r="V201" s="21" t="s">
        <v>72</v>
      </c>
      <c r="X201" s="15" t="s">
        <v>77</v>
      </c>
      <c r="Y201" s="15" t="s">
        <v>53</v>
      </c>
      <c r="Z201" s="15">
        <v>5.0</v>
      </c>
      <c r="AA201" s="15">
        <v>2.0</v>
      </c>
      <c r="AB201" s="15">
        <v>2.0</v>
      </c>
      <c r="AC201" s="15">
        <v>3.0</v>
      </c>
      <c r="AD201" s="15">
        <v>3.0</v>
      </c>
      <c r="AE201" s="15">
        <v>3.0</v>
      </c>
      <c r="AF201" s="15">
        <v>1.0</v>
      </c>
      <c r="AG201" s="15">
        <v>3.0</v>
      </c>
      <c r="AH201" s="15">
        <v>3.0</v>
      </c>
      <c r="AI201" s="15">
        <v>3.0</v>
      </c>
      <c r="AJ201" s="15">
        <v>3.0</v>
      </c>
      <c r="AN201" s="15">
        <v>5.0</v>
      </c>
      <c r="AO201" s="19" t="s">
        <v>72</v>
      </c>
      <c r="AP201" s="15">
        <v>26.0</v>
      </c>
      <c r="AQ201" s="15" t="s">
        <v>67</v>
      </c>
      <c r="AR201" s="15" t="s">
        <v>68</v>
      </c>
      <c r="AS201" s="15" t="s">
        <v>61</v>
      </c>
      <c r="AT201" s="15" t="s">
        <v>78</v>
      </c>
      <c r="AU201" s="15" t="s">
        <v>395</v>
      </c>
    </row>
    <row r="202">
      <c r="A202" s="14">
        <v>45069.4111553588</v>
      </c>
      <c r="B202" s="15" t="s">
        <v>53</v>
      </c>
      <c r="C202" s="15" t="s">
        <v>97</v>
      </c>
      <c r="D202" s="15">
        <v>-5.0</v>
      </c>
      <c r="E202" s="15" t="s">
        <v>53</v>
      </c>
      <c r="F202" s="15">
        <v>1.0</v>
      </c>
      <c r="G202" s="15">
        <v>1.0</v>
      </c>
      <c r="H202" s="15">
        <v>1.0</v>
      </c>
      <c r="I202" s="15">
        <v>4.0</v>
      </c>
      <c r="J202" s="15">
        <v>2.0</v>
      </c>
      <c r="K202" s="15">
        <v>3.0</v>
      </c>
      <c r="L202" s="15">
        <v>1.0</v>
      </c>
      <c r="M202" s="15">
        <v>3.0</v>
      </c>
      <c r="N202" s="15">
        <v>2.0</v>
      </c>
      <c r="O202" s="15">
        <v>2.0</v>
      </c>
      <c r="P202" s="15">
        <v>2.0</v>
      </c>
      <c r="Q202" s="15" t="s">
        <v>101</v>
      </c>
      <c r="R202" s="15" t="s">
        <v>101</v>
      </c>
      <c r="S202" s="15" t="s">
        <v>101</v>
      </c>
      <c r="T202" s="23">
        <v>4.0</v>
      </c>
      <c r="U202" s="24">
        <v>-4.0</v>
      </c>
      <c r="V202" s="25"/>
      <c r="W202" s="15" t="s">
        <v>102</v>
      </c>
      <c r="AO202" s="26"/>
      <c r="AP202" s="15">
        <v>22.0</v>
      </c>
      <c r="AQ202" s="15" t="s">
        <v>67</v>
      </c>
      <c r="AR202" s="15" t="s">
        <v>154</v>
      </c>
      <c r="AS202" s="15" t="s">
        <v>61</v>
      </c>
      <c r="AT202" s="15" t="s">
        <v>69</v>
      </c>
      <c r="AU202" s="15" t="s">
        <v>396</v>
      </c>
    </row>
    <row r="203">
      <c r="A203" s="14">
        <v>45069.412515324075</v>
      </c>
      <c r="B203" s="15" t="s">
        <v>53</v>
      </c>
      <c r="C203" s="15" t="s">
        <v>53</v>
      </c>
      <c r="D203" s="15">
        <v>-1.0</v>
      </c>
      <c r="E203" s="15" t="s">
        <v>53</v>
      </c>
      <c r="F203" s="15">
        <v>4.0</v>
      </c>
      <c r="G203" s="15">
        <v>2.0</v>
      </c>
      <c r="H203" s="15">
        <v>3.0</v>
      </c>
      <c r="I203" s="15">
        <v>4.0</v>
      </c>
      <c r="J203" s="15">
        <v>3.0</v>
      </c>
      <c r="K203" s="15">
        <v>4.0</v>
      </c>
      <c r="L203" s="15">
        <v>2.0</v>
      </c>
      <c r="M203" s="15">
        <v>4.0</v>
      </c>
      <c r="N203" s="15">
        <v>4.0</v>
      </c>
      <c r="O203" s="15">
        <v>4.0</v>
      </c>
      <c r="P203" s="15">
        <v>4.0</v>
      </c>
      <c r="Q203" s="15" t="s">
        <v>55</v>
      </c>
      <c r="R203" s="15" t="s">
        <v>64</v>
      </c>
      <c r="S203" s="15" t="s">
        <v>86</v>
      </c>
      <c r="T203" s="23">
        <v>5.0</v>
      </c>
      <c r="U203" s="24">
        <f>+1</f>
        <v>1</v>
      </c>
      <c r="V203" s="21"/>
      <c r="X203" s="15" t="s">
        <v>116</v>
      </c>
      <c r="AO203" s="26"/>
      <c r="AP203" s="15">
        <v>24.0</v>
      </c>
      <c r="AQ203" s="15" t="s">
        <v>67</v>
      </c>
      <c r="AR203" s="15" t="s">
        <v>98</v>
      </c>
      <c r="AS203" s="15" t="s">
        <v>61</v>
      </c>
      <c r="AT203" s="15" t="s">
        <v>93</v>
      </c>
      <c r="AU203" s="15" t="s">
        <v>397</v>
      </c>
    </row>
    <row r="204">
      <c r="A204" s="14">
        <v>45069.43176283565</v>
      </c>
      <c r="B204" s="15" t="s">
        <v>53</v>
      </c>
      <c r="C204" s="15" t="s">
        <v>53</v>
      </c>
      <c r="D204" s="15" t="s">
        <v>65</v>
      </c>
      <c r="E204" s="15" t="s">
        <v>53</v>
      </c>
      <c r="F204" s="15">
        <v>3.0</v>
      </c>
      <c r="G204" s="15">
        <v>3.0</v>
      </c>
      <c r="H204" s="15">
        <v>3.0</v>
      </c>
      <c r="I204" s="15">
        <v>3.0</v>
      </c>
      <c r="J204" s="15">
        <v>3.0</v>
      </c>
      <c r="K204" s="15">
        <v>5.0</v>
      </c>
      <c r="L204" s="15">
        <v>2.0</v>
      </c>
      <c r="M204" s="15">
        <v>4.0</v>
      </c>
      <c r="N204" s="15">
        <v>4.0</v>
      </c>
      <c r="O204" s="15">
        <v>4.0</v>
      </c>
      <c r="P204" s="15">
        <v>4.0</v>
      </c>
      <c r="Q204" s="15" t="s">
        <v>64</v>
      </c>
      <c r="R204" s="15" t="s">
        <v>57</v>
      </c>
      <c r="S204" s="15" t="s">
        <v>92</v>
      </c>
      <c r="T204" s="22">
        <v>2.0</v>
      </c>
      <c r="U204" s="20">
        <f>+2</f>
        <v>2</v>
      </c>
      <c r="V204" s="21" t="s">
        <v>65</v>
      </c>
      <c r="X204" s="15" t="s">
        <v>77</v>
      </c>
      <c r="Y204" s="15" t="s">
        <v>53</v>
      </c>
      <c r="Z204" s="15">
        <v>3.0</v>
      </c>
      <c r="AA204" s="15">
        <v>3.0</v>
      </c>
      <c r="AB204" s="15">
        <v>3.0</v>
      </c>
      <c r="AC204" s="15">
        <v>3.0</v>
      </c>
      <c r="AD204" s="15">
        <v>3.0</v>
      </c>
      <c r="AE204" s="15">
        <v>5.0</v>
      </c>
      <c r="AF204" s="15">
        <v>2.0</v>
      </c>
      <c r="AG204" s="15">
        <v>4.0</v>
      </c>
      <c r="AH204" s="15">
        <v>4.0</v>
      </c>
      <c r="AI204" s="15">
        <v>4.0</v>
      </c>
      <c r="AJ204" s="15">
        <v>4.0</v>
      </c>
      <c r="AN204" s="15">
        <v>5.0</v>
      </c>
      <c r="AO204" s="19" t="s">
        <v>65</v>
      </c>
      <c r="AP204" s="15">
        <v>21.0</v>
      </c>
      <c r="AQ204" s="15" t="s">
        <v>67</v>
      </c>
      <c r="AR204" s="15" t="s">
        <v>98</v>
      </c>
      <c r="AS204" s="15" t="s">
        <v>61</v>
      </c>
      <c r="AT204" s="15" t="s">
        <v>78</v>
      </c>
      <c r="AU204" s="15" t="s">
        <v>398</v>
      </c>
    </row>
    <row r="205">
      <c r="A205" s="14">
        <v>45069.47416810185</v>
      </c>
      <c r="B205" s="15" t="s">
        <v>53</v>
      </c>
      <c r="C205" s="15" t="s">
        <v>53</v>
      </c>
      <c r="D205" s="15" t="s">
        <v>54</v>
      </c>
      <c r="E205" s="15" t="s">
        <v>53</v>
      </c>
      <c r="F205" s="15">
        <v>4.0</v>
      </c>
      <c r="G205" s="15">
        <v>4.0</v>
      </c>
      <c r="H205" s="15">
        <v>3.0</v>
      </c>
      <c r="I205" s="15">
        <v>4.0</v>
      </c>
      <c r="J205" s="15">
        <v>3.0</v>
      </c>
      <c r="K205" s="15">
        <v>4.0</v>
      </c>
      <c r="L205" s="15">
        <v>2.0</v>
      </c>
      <c r="M205" s="15">
        <v>4.0</v>
      </c>
      <c r="N205" s="15">
        <v>4.0</v>
      </c>
      <c r="O205" s="15">
        <v>4.0</v>
      </c>
      <c r="P205" s="15">
        <v>4.0</v>
      </c>
      <c r="Q205" s="15" t="s">
        <v>55</v>
      </c>
      <c r="R205" s="15" t="s">
        <v>56</v>
      </c>
      <c r="S205" s="15" t="s">
        <v>64</v>
      </c>
      <c r="T205" s="22">
        <v>4.0</v>
      </c>
      <c r="U205" s="20">
        <f>+3</f>
        <v>3</v>
      </c>
      <c r="V205" s="21" t="s">
        <v>54</v>
      </c>
      <c r="X205" s="15" t="s">
        <v>77</v>
      </c>
      <c r="Y205" s="15" t="s">
        <v>53</v>
      </c>
      <c r="Z205" s="15">
        <v>4.0</v>
      </c>
      <c r="AA205" s="15">
        <v>4.0</v>
      </c>
      <c r="AB205" s="15">
        <v>3.0</v>
      </c>
      <c r="AC205" s="15">
        <v>4.0</v>
      </c>
      <c r="AD205" s="15">
        <v>3.0</v>
      </c>
      <c r="AE205" s="15">
        <v>4.0</v>
      </c>
      <c r="AF205" s="15">
        <v>2.0</v>
      </c>
      <c r="AG205" s="15">
        <v>4.0</v>
      </c>
      <c r="AH205" s="15">
        <v>4.0</v>
      </c>
      <c r="AI205" s="15">
        <v>4.0</v>
      </c>
      <c r="AJ205" s="15">
        <v>4.0</v>
      </c>
      <c r="AN205" s="15">
        <v>4.0</v>
      </c>
      <c r="AO205" s="19" t="s">
        <v>54</v>
      </c>
      <c r="AP205" s="15">
        <v>19.0</v>
      </c>
      <c r="AQ205" s="15" t="s">
        <v>67</v>
      </c>
      <c r="AR205" s="15" t="s">
        <v>68</v>
      </c>
      <c r="AS205" s="15" t="s">
        <v>61</v>
      </c>
      <c r="AT205" s="15" t="s">
        <v>78</v>
      </c>
      <c r="AU205" s="15" t="s">
        <v>399</v>
      </c>
      <c r="AV205" s="15" t="s">
        <v>400</v>
      </c>
    </row>
    <row r="206">
      <c r="A206" s="14">
        <v>45069.49833729166</v>
      </c>
      <c r="B206" s="15" t="s">
        <v>53</v>
      </c>
      <c r="C206" s="15" t="s">
        <v>97</v>
      </c>
      <c r="D206" s="15">
        <v>-4.0</v>
      </c>
      <c r="E206" s="15" t="s">
        <v>53</v>
      </c>
      <c r="F206" s="15">
        <v>4.0</v>
      </c>
      <c r="G206" s="15">
        <v>3.0</v>
      </c>
      <c r="H206" s="15">
        <v>3.0</v>
      </c>
      <c r="I206" s="15">
        <v>4.0</v>
      </c>
      <c r="J206" s="15">
        <v>2.0</v>
      </c>
      <c r="K206" s="15">
        <v>5.0</v>
      </c>
      <c r="L206" s="15">
        <v>1.0</v>
      </c>
      <c r="M206" s="15">
        <v>1.0</v>
      </c>
      <c r="N206" s="15">
        <v>4.0</v>
      </c>
      <c r="O206" s="15">
        <v>4.0</v>
      </c>
      <c r="P206" s="15">
        <v>3.0</v>
      </c>
      <c r="Q206" s="15" t="s">
        <v>64</v>
      </c>
      <c r="R206" s="15" t="s">
        <v>57</v>
      </c>
      <c r="S206" s="15" t="s">
        <v>86</v>
      </c>
      <c r="T206" s="23">
        <v>3.0</v>
      </c>
      <c r="U206" s="24">
        <v>-4.0</v>
      </c>
      <c r="V206" s="25"/>
      <c r="W206" s="15" t="s">
        <v>102</v>
      </c>
      <c r="AO206" s="26"/>
      <c r="AP206" s="15">
        <v>19.0</v>
      </c>
      <c r="AQ206" s="15" t="s">
        <v>67</v>
      </c>
      <c r="AR206" s="15" t="s">
        <v>60</v>
      </c>
      <c r="AS206" s="15" t="s">
        <v>109</v>
      </c>
      <c r="AT206" s="15" t="s">
        <v>93</v>
      </c>
      <c r="AU206" s="15" t="s">
        <v>401</v>
      </c>
    </row>
    <row r="207">
      <c r="A207" s="14">
        <v>45069.51226584491</v>
      </c>
      <c r="B207" s="15" t="s">
        <v>53</v>
      </c>
      <c r="C207" s="15" t="s">
        <v>53</v>
      </c>
      <c r="D207" s="15" t="s">
        <v>54</v>
      </c>
      <c r="E207" s="15" t="s">
        <v>53</v>
      </c>
      <c r="F207" s="15">
        <v>5.0</v>
      </c>
      <c r="G207" s="15">
        <v>1.0</v>
      </c>
      <c r="H207" s="15">
        <v>1.0</v>
      </c>
      <c r="I207" s="15">
        <v>5.0</v>
      </c>
      <c r="J207" s="15">
        <v>3.0</v>
      </c>
      <c r="K207" s="15">
        <v>4.0</v>
      </c>
      <c r="L207" s="15">
        <v>1.0</v>
      </c>
      <c r="M207" s="15">
        <v>3.0</v>
      </c>
      <c r="N207" s="15">
        <v>3.0</v>
      </c>
      <c r="O207" s="15">
        <v>3.0</v>
      </c>
      <c r="P207" s="15">
        <v>3.0</v>
      </c>
      <c r="Q207" s="15" t="s">
        <v>64</v>
      </c>
      <c r="R207" s="15" t="s">
        <v>86</v>
      </c>
      <c r="S207" s="15" t="s">
        <v>92</v>
      </c>
      <c r="T207" s="22">
        <v>4.0</v>
      </c>
      <c r="U207" s="20">
        <f>+4</f>
        <v>4</v>
      </c>
      <c r="V207" s="21" t="s">
        <v>85</v>
      </c>
      <c r="X207" s="15" t="s">
        <v>77</v>
      </c>
      <c r="Y207" s="15" t="s">
        <v>53</v>
      </c>
      <c r="Z207" s="15">
        <v>5.0</v>
      </c>
      <c r="AA207" s="15">
        <v>1.0</v>
      </c>
      <c r="AB207" s="15">
        <v>1.0</v>
      </c>
      <c r="AC207" s="15">
        <v>5.0</v>
      </c>
      <c r="AD207" s="15">
        <v>3.0</v>
      </c>
      <c r="AE207" s="15">
        <v>4.0</v>
      </c>
      <c r="AF207" s="15">
        <v>1.0</v>
      </c>
      <c r="AG207" s="15">
        <v>3.0</v>
      </c>
      <c r="AH207" s="15">
        <v>3.0</v>
      </c>
      <c r="AI207" s="15">
        <v>3.0</v>
      </c>
      <c r="AJ207" s="15">
        <v>3.0</v>
      </c>
      <c r="AN207" s="15">
        <v>4.0</v>
      </c>
      <c r="AO207" s="19" t="s">
        <v>85</v>
      </c>
      <c r="AP207" s="15">
        <v>21.0</v>
      </c>
      <c r="AQ207" s="15" t="s">
        <v>67</v>
      </c>
      <c r="AR207" s="15" t="s">
        <v>402</v>
      </c>
      <c r="AS207" s="15" t="s">
        <v>61</v>
      </c>
      <c r="AT207" s="15" t="s">
        <v>403</v>
      </c>
      <c r="AU207" s="15" t="s">
        <v>404</v>
      </c>
      <c r="AV207" s="15" t="s">
        <v>268</v>
      </c>
    </row>
    <row r="208">
      <c r="A208" s="14">
        <v>45069.543010277775</v>
      </c>
      <c r="B208" s="15" t="s">
        <v>53</v>
      </c>
      <c r="C208" s="15" t="s">
        <v>53</v>
      </c>
      <c r="D208" s="15" t="s">
        <v>104</v>
      </c>
      <c r="E208" s="15" t="s">
        <v>53</v>
      </c>
      <c r="F208" s="15">
        <v>5.0</v>
      </c>
      <c r="G208" s="15">
        <v>3.0</v>
      </c>
      <c r="H208" s="15">
        <v>3.0</v>
      </c>
      <c r="I208" s="15">
        <v>5.0</v>
      </c>
      <c r="J208" s="15">
        <v>3.0</v>
      </c>
      <c r="K208" s="15">
        <v>5.0</v>
      </c>
      <c r="L208" s="15">
        <v>1.0</v>
      </c>
      <c r="M208" s="15">
        <v>5.0</v>
      </c>
      <c r="N208" s="15">
        <v>5.0</v>
      </c>
      <c r="O208" s="15">
        <v>5.0</v>
      </c>
      <c r="P208" s="15">
        <v>5.0</v>
      </c>
      <c r="Q208" s="15" t="s">
        <v>64</v>
      </c>
      <c r="R208" s="15" t="s">
        <v>55</v>
      </c>
      <c r="S208" s="15" t="s">
        <v>83</v>
      </c>
      <c r="T208" s="22">
        <v>3.0</v>
      </c>
      <c r="U208" s="17">
        <v>-5.0</v>
      </c>
      <c r="V208" s="18">
        <v>-5.0</v>
      </c>
      <c r="W208" s="15" t="s">
        <v>80</v>
      </c>
      <c r="Y208" s="15" t="s">
        <v>53</v>
      </c>
      <c r="Z208" s="15">
        <v>5.0</v>
      </c>
      <c r="AA208" s="15">
        <v>3.0</v>
      </c>
      <c r="AB208" s="15">
        <v>3.0</v>
      </c>
      <c r="AC208" s="15">
        <v>5.0</v>
      </c>
      <c r="AD208" s="15">
        <v>3.0</v>
      </c>
      <c r="AE208" s="15">
        <v>5.0</v>
      </c>
      <c r="AF208" s="15">
        <v>1.0</v>
      </c>
      <c r="AG208" s="15">
        <v>5.0</v>
      </c>
      <c r="AH208" s="15">
        <v>5.0</v>
      </c>
      <c r="AI208" s="15">
        <v>5.0</v>
      </c>
      <c r="AJ208" s="15">
        <v>5.0</v>
      </c>
      <c r="AN208" s="15">
        <v>5.0</v>
      </c>
      <c r="AO208" s="19">
        <v>-5.0</v>
      </c>
      <c r="AP208" s="15">
        <v>22.0</v>
      </c>
      <c r="AQ208" s="15" t="s">
        <v>67</v>
      </c>
      <c r="AR208" s="15" t="s">
        <v>68</v>
      </c>
      <c r="AS208" s="15" t="s">
        <v>61</v>
      </c>
      <c r="AT208" s="15" t="s">
        <v>78</v>
      </c>
      <c r="AU208" s="15" t="s">
        <v>405</v>
      </c>
    </row>
    <row r="209">
      <c r="A209" s="14">
        <v>45069.55513962963</v>
      </c>
      <c r="B209" s="15" t="s">
        <v>53</v>
      </c>
      <c r="C209" s="15" t="s">
        <v>53</v>
      </c>
      <c r="D209" s="15" t="s">
        <v>54</v>
      </c>
      <c r="E209" s="15" t="s">
        <v>53</v>
      </c>
      <c r="F209" s="15">
        <v>3.0</v>
      </c>
      <c r="G209" s="15">
        <v>1.0</v>
      </c>
      <c r="H209" s="15">
        <v>2.0</v>
      </c>
      <c r="I209" s="15">
        <v>4.0</v>
      </c>
      <c r="J209" s="15">
        <v>4.0</v>
      </c>
      <c r="K209" s="15">
        <v>4.0</v>
      </c>
      <c r="L209" s="15">
        <v>1.0</v>
      </c>
      <c r="M209" s="15">
        <v>3.0</v>
      </c>
      <c r="N209" s="15">
        <v>5.0</v>
      </c>
      <c r="O209" s="15">
        <v>5.0</v>
      </c>
      <c r="P209" s="15">
        <v>5.0</v>
      </c>
      <c r="Q209" s="15" t="s">
        <v>55</v>
      </c>
      <c r="R209" s="15" t="s">
        <v>64</v>
      </c>
      <c r="S209" s="15" t="s">
        <v>57</v>
      </c>
      <c r="T209" s="22">
        <v>5.0</v>
      </c>
      <c r="U209" s="20">
        <f>+3</f>
        <v>3</v>
      </c>
      <c r="V209" s="21" t="s">
        <v>54</v>
      </c>
      <c r="X209" s="15" t="s">
        <v>77</v>
      </c>
      <c r="Y209" s="15" t="s">
        <v>53</v>
      </c>
      <c r="Z209" s="15">
        <v>3.0</v>
      </c>
      <c r="AA209" s="15">
        <v>1.0</v>
      </c>
      <c r="AB209" s="15">
        <v>2.0</v>
      </c>
      <c r="AC209" s="15">
        <v>4.0</v>
      </c>
      <c r="AD209" s="15">
        <v>4.0</v>
      </c>
      <c r="AE209" s="15">
        <v>4.0</v>
      </c>
      <c r="AF209" s="15">
        <v>1.0</v>
      </c>
      <c r="AG209" s="15">
        <v>3.0</v>
      </c>
      <c r="AH209" s="15">
        <v>5.0</v>
      </c>
      <c r="AI209" s="15">
        <v>5.0</v>
      </c>
      <c r="AJ209" s="15">
        <v>5.0</v>
      </c>
      <c r="AN209" s="15">
        <v>4.0</v>
      </c>
      <c r="AO209" s="19" t="s">
        <v>54</v>
      </c>
      <c r="AP209" s="15">
        <v>18.0</v>
      </c>
      <c r="AQ209" s="15" t="s">
        <v>67</v>
      </c>
      <c r="AR209" s="15" t="s">
        <v>60</v>
      </c>
      <c r="AS209" s="15" t="s">
        <v>109</v>
      </c>
      <c r="AT209" s="15" t="s">
        <v>78</v>
      </c>
      <c r="AU209" s="15" t="s">
        <v>406</v>
      </c>
    </row>
    <row r="210">
      <c r="A210" s="27"/>
      <c r="B210" s="28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2">
        <v>5.0</v>
      </c>
      <c r="U210" s="30"/>
      <c r="V210" s="21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31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</row>
    <row r="211">
      <c r="T211" s="22">
        <v>4.0</v>
      </c>
      <c r="U211" s="32"/>
      <c r="V211" s="21"/>
      <c r="AO211" s="26"/>
    </row>
    <row r="212">
      <c r="T212" s="22">
        <v>5.0</v>
      </c>
      <c r="U212" s="32"/>
      <c r="V212" s="21"/>
      <c r="AO212" s="26"/>
    </row>
    <row r="213">
      <c r="T213" s="22">
        <v>4.0</v>
      </c>
      <c r="U213" s="32"/>
      <c r="V213" s="21"/>
      <c r="AO213" s="26"/>
    </row>
    <row r="214">
      <c r="T214" s="22">
        <v>2.0</v>
      </c>
      <c r="U214" s="32"/>
      <c r="V214" s="21"/>
      <c r="AO214" s="26"/>
    </row>
    <row r="215">
      <c r="T215" s="22">
        <v>4.0</v>
      </c>
      <c r="U215" s="32"/>
      <c r="V215" s="21"/>
      <c r="AO215" s="26"/>
    </row>
    <row r="216">
      <c r="T216" s="22">
        <v>5.0</v>
      </c>
      <c r="U216" s="32"/>
      <c r="V216" s="21"/>
      <c r="AO216" s="26"/>
    </row>
    <row r="217">
      <c r="T217" s="22">
        <v>4.0</v>
      </c>
      <c r="U217" s="32"/>
      <c r="V217" s="21"/>
      <c r="AO217" s="26"/>
    </row>
    <row r="218">
      <c r="T218" s="22">
        <v>4.0</v>
      </c>
      <c r="U218" s="32"/>
      <c r="V218" s="21"/>
      <c r="AO218" s="26"/>
    </row>
    <row r="219">
      <c r="U219" s="32"/>
      <c r="V219" s="21"/>
      <c r="AO219" s="26"/>
    </row>
    <row r="220">
      <c r="U220" s="32"/>
      <c r="V220" s="21"/>
      <c r="AO220" s="26"/>
    </row>
    <row r="221">
      <c r="U221" s="32"/>
      <c r="V221" s="21"/>
      <c r="AO221" s="26"/>
    </row>
    <row r="222">
      <c r="U222" s="32"/>
      <c r="V222" s="21"/>
      <c r="AO222" s="26"/>
    </row>
    <row r="223">
      <c r="U223" s="32"/>
      <c r="V223" s="21"/>
      <c r="AO223" s="26"/>
    </row>
    <row r="224">
      <c r="U224" s="32"/>
      <c r="V224" s="21"/>
      <c r="AO224" s="26"/>
    </row>
    <row r="225">
      <c r="U225" s="32"/>
      <c r="V225" s="21"/>
      <c r="AO225" s="26"/>
    </row>
    <row r="226">
      <c r="U226" s="32"/>
      <c r="V226" s="21"/>
      <c r="AO226" s="26"/>
    </row>
    <row r="227">
      <c r="U227" s="32"/>
      <c r="V227" s="21"/>
      <c r="AO227" s="26"/>
    </row>
    <row r="228">
      <c r="U228" s="32"/>
      <c r="V228" s="21"/>
      <c r="AO228" s="26"/>
    </row>
    <row r="229">
      <c r="U229" s="32"/>
      <c r="V229" s="21"/>
      <c r="AO229" s="26"/>
    </row>
    <row r="230">
      <c r="U230" s="32"/>
      <c r="V230" s="21"/>
      <c r="AO230" s="26"/>
    </row>
    <row r="231">
      <c r="U231" s="32"/>
      <c r="V231" s="21"/>
      <c r="AO231" s="26"/>
    </row>
    <row r="232">
      <c r="U232" s="32"/>
      <c r="V232" s="21"/>
      <c r="AO232" s="26"/>
    </row>
    <row r="233">
      <c r="U233" s="32"/>
      <c r="V233" s="21"/>
      <c r="AO233" s="26"/>
    </row>
    <row r="234">
      <c r="U234" s="32"/>
      <c r="V234" s="21"/>
      <c r="AO234" s="26"/>
    </row>
    <row r="235">
      <c r="U235" s="32"/>
      <c r="V235" s="21"/>
      <c r="AO235" s="26"/>
    </row>
    <row r="236">
      <c r="U236" s="32"/>
      <c r="V236" s="21"/>
      <c r="AO236" s="26"/>
    </row>
    <row r="237">
      <c r="U237" s="32"/>
      <c r="V237" s="21"/>
      <c r="AO237" s="26"/>
    </row>
    <row r="238">
      <c r="U238" s="32"/>
      <c r="V238" s="21"/>
      <c r="AO238" s="26"/>
    </row>
    <row r="239">
      <c r="U239" s="32"/>
      <c r="V239" s="21"/>
      <c r="AO239" s="26"/>
    </row>
    <row r="240">
      <c r="U240" s="32"/>
      <c r="V240" s="21"/>
      <c r="AO240" s="26"/>
    </row>
    <row r="241">
      <c r="U241" s="32"/>
      <c r="V241" s="21"/>
      <c r="AO241" s="26"/>
    </row>
    <row r="242">
      <c r="U242" s="32"/>
      <c r="V242" s="21"/>
      <c r="AO242" s="26"/>
    </row>
    <row r="243">
      <c r="U243" s="32"/>
      <c r="V243" s="21"/>
      <c r="AO243" s="26"/>
    </row>
    <row r="244">
      <c r="U244" s="32"/>
      <c r="V244" s="21"/>
      <c r="AO244" s="26"/>
    </row>
    <row r="245">
      <c r="U245" s="32"/>
      <c r="V245" s="21"/>
      <c r="AO245" s="26"/>
    </row>
    <row r="246">
      <c r="U246" s="32"/>
      <c r="V246" s="21"/>
      <c r="AO246" s="26"/>
    </row>
    <row r="247">
      <c r="U247" s="32"/>
      <c r="V247" s="21"/>
      <c r="AO247" s="26"/>
    </row>
    <row r="248">
      <c r="U248" s="32"/>
      <c r="V248" s="21"/>
      <c r="AO248" s="26"/>
    </row>
    <row r="249">
      <c r="U249" s="32"/>
      <c r="V249" s="21"/>
      <c r="AO249" s="26"/>
    </row>
    <row r="250">
      <c r="U250" s="32"/>
      <c r="V250" s="21"/>
      <c r="AO250" s="26"/>
    </row>
    <row r="251">
      <c r="U251" s="32"/>
      <c r="V251" s="21"/>
      <c r="AO251" s="26"/>
    </row>
    <row r="252">
      <c r="U252" s="32"/>
      <c r="V252" s="21"/>
      <c r="AO252" s="26"/>
    </row>
    <row r="253">
      <c r="U253" s="32"/>
      <c r="V253" s="21"/>
      <c r="AO253" s="26"/>
    </row>
    <row r="254">
      <c r="U254" s="32"/>
      <c r="V254" s="21"/>
      <c r="AO254" s="26"/>
    </row>
    <row r="255">
      <c r="U255" s="32"/>
      <c r="V255" s="21"/>
      <c r="AO255" s="26"/>
    </row>
    <row r="256">
      <c r="U256" s="32"/>
      <c r="V256" s="21"/>
      <c r="AO256" s="26"/>
    </row>
    <row r="257">
      <c r="U257" s="32"/>
      <c r="V257" s="21"/>
      <c r="AO257" s="26"/>
    </row>
    <row r="258">
      <c r="U258" s="32"/>
      <c r="V258" s="21"/>
      <c r="AO258" s="26"/>
    </row>
    <row r="259">
      <c r="U259" s="32"/>
      <c r="V259" s="21"/>
      <c r="AO259" s="26"/>
    </row>
    <row r="260">
      <c r="U260" s="32"/>
      <c r="V260" s="21"/>
      <c r="AO260" s="26"/>
    </row>
    <row r="261">
      <c r="U261" s="32"/>
      <c r="V261" s="21"/>
      <c r="AO261" s="26"/>
    </row>
    <row r="262">
      <c r="U262" s="32"/>
      <c r="V262" s="21"/>
      <c r="AO262" s="26"/>
    </row>
    <row r="263">
      <c r="U263" s="32"/>
      <c r="V263" s="21"/>
      <c r="AO263" s="26"/>
    </row>
    <row r="264">
      <c r="U264" s="32"/>
      <c r="V264" s="21"/>
      <c r="AO264" s="26"/>
    </row>
    <row r="265">
      <c r="U265" s="32"/>
      <c r="V265" s="21"/>
      <c r="AO265" s="26"/>
    </row>
    <row r="266">
      <c r="U266" s="32"/>
      <c r="V266" s="21"/>
      <c r="AO266" s="26"/>
    </row>
    <row r="267">
      <c r="U267" s="32"/>
      <c r="V267" s="21"/>
      <c r="AO267" s="26"/>
    </row>
    <row r="268">
      <c r="U268" s="32"/>
      <c r="V268" s="21"/>
      <c r="AO268" s="26"/>
    </row>
    <row r="269">
      <c r="U269" s="32"/>
      <c r="V269" s="21"/>
      <c r="AO269" s="26"/>
    </row>
    <row r="270">
      <c r="U270" s="32"/>
      <c r="V270" s="21"/>
      <c r="AO270" s="26"/>
    </row>
    <row r="271">
      <c r="U271" s="32"/>
      <c r="V271" s="21"/>
      <c r="AO271" s="26"/>
    </row>
    <row r="272">
      <c r="U272" s="32"/>
      <c r="V272" s="21"/>
      <c r="AO272" s="26"/>
    </row>
    <row r="273">
      <c r="U273" s="32"/>
      <c r="V273" s="21"/>
      <c r="AO273" s="26"/>
    </row>
    <row r="274">
      <c r="U274" s="32"/>
      <c r="V274" s="21"/>
      <c r="AO274" s="26"/>
    </row>
    <row r="275">
      <c r="U275" s="32"/>
      <c r="V275" s="21"/>
      <c r="AO275" s="26"/>
    </row>
    <row r="276">
      <c r="U276" s="32"/>
      <c r="V276" s="21"/>
      <c r="AO276" s="26"/>
    </row>
    <row r="277">
      <c r="U277" s="32"/>
      <c r="V277" s="21"/>
      <c r="AO277" s="26"/>
    </row>
    <row r="278">
      <c r="U278" s="32"/>
      <c r="V278" s="21"/>
      <c r="AO278" s="26"/>
    </row>
    <row r="279">
      <c r="U279" s="32"/>
      <c r="V279" s="21"/>
      <c r="AO279" s="26"/>
    </row>
    <row r="280">
      <c r="U280" s="32"/>
      <c r="V280" s="21"/>
      <c r="AO280" s="26"/>
    </row>
    <row r="281">
      <c r="U281" s="32"/>
      <c r="V281" s="21"/>
      <c r="AO281" s="26"/>
    </row>
    <row r="282">
      <c r="U282" s="32"/>
      <c r="V282" s="21"/>
      <c r="AO282" s="26"/>
    </row>
    <row r="283">
      <c r="U283" s="32"/>
      <c r="V283" s="21"/>
      <c r="AO283" s="26"/>
    </row>
    <row r="284">
      <c r="U284" s="32"/>
      <c r="V284" s="21"/>
      <c r="AO284" s="26"/>
    </row>
    <row r="285">
      <c r="U285" s="32"/>
      <c r="V285" s="21"/>
      <c r="AO285" s="26"/>
    </row>
    <row r="286">
      <c r="U286" s="32"/>
      <c r="V286" s="21"/>
      <c r="AO286" s="26"/>
    </row>
    <row r="287">
      <c r="U287" s="32"/>
      <c r="V287" s="21"/>
      <c r="AO287" s="26"/>
    </row>
    <row r="288">
      <c r="U288" s="32"/>
      <c r="V288" s="21"/>
      <c r="AO288" s="26"/>
    </row>
    <row r="289">
      <c r="U289" s="32"/>
      <c r="V289" s="21"/>
      <c r="AO289" s="26"/>
    </row>
    <row r="290">
      <c r="U290" s="32"/>
      <c r="V290" s="21"/>
      <c r="AO290" s="26"/>
    </row>
    <row r="291">
      <c r="U291" s="32"/>
      <c r="V291" s="21"/>
      <c r="AO291" s="26"/>
    </row>
    <row r="292">
      <c r="U292" s="32"/>
      <c r="V292" s="21"/>
      <c r="AO292" s="26"/>
    </row>
    <row r="293">
      <c r="U293" s="32"/>
      <c r="V293" s="21"/>
      <c r="AO293" s="26"/>
    </row>
    <row r="294">
      <c r="U294" s="32"/>
      <c r="V294" s="21"/>
      <c r="AO294" s="26"/>
    </row>
    <row r="295">
      <c r="U295" s="32"/>
      <c r="V295" s="21"/>
      <c r="AO295" s="26"/>
    </row>
    <row r="296">
      <c r="U296" s="32"/>
      <c r="V296" s="21"/>
      <c r="AO296" s="26"/>
    </row>
    <row r="297">
      <c r="U297" s="32"/>
      <c r="V297" s="21"/>
      <c r="AO297" s="26"/>
    </row>
    <row r="298">
      <c r="U298" s="32"/>
      <c r="V298" s="21"/>
      <c r="AO298" s="26"/>
    </row>
    <row r="299">
      <c r="U299" s="32"/>
      <c r="V299" s="21"/>
      <c r="AO299" s="26"/>
    </row>
    <row r="300">
      <c r="U300" s="32"/>
      <c r="V300" s="21"/>
      <c r="AO300" s="26"/>
    </row>
    <row r="301">
      <c r="U301" s="32"/>
      <c r="V301" s="21"/>
      <c r="AO301" s="26"/>
    </row>
    <row r="302">
      <c r="U302" s="32"/>
      <c r="V302" s="21"/>
      <c r="AO302" s="26"/>
    </row>
    <row r="303">
      <c r="U303" s="32"/>
      <c r="V303" s="21"/>
      <c r="AO303" s="26"/>
    </row>
    <row r="304">
      <c r="U304" s="32"/>
      <c r="V304" s="21"/>
      <c r="AO304" s="26"/>
    </row>
    <row r="305">
      <c r="U305" s="32"/>
      <c r="V305" s="21"/>
      <c r="AO305" s="26"/>
    </row>
    <row r="306">
      <c r="U306" s="32"/>
      <c r="V306" s="21"/>
      <c r="AO306" s="26"/>
    </row>
    <row r="307">
      <c r="U307" s="32"/>
      <c r="V307" s="21"/>
      <c r="AO307" s="26"/>
    </row>
    <row r="308">
      <c r="U308" s="32"/>
      <c r="V308" s="21"/>
      <c r="AO308" s="26"/>
    </row>
    <row r="309">
      <c r="U309" s="32"/>
      <c r="V309" s="21"/>
      <c r="AO309" s="26"/>
    </row>
    <row r="310">
      <c r="U310" s="32"/>
      <c r="V310" s="21"/>
      <c r="AO310" s="26"/>
    </row>
  </sheetData>
  <mergeCells count="2">
    <mergeCell ref="Q1:S1"/>
    <mergeCell ref="AK1:A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7.25"/>
    <col customWidth="1" min="2" max="2" width="15.5"/>
    <col customWidth="1" min="3" max="3" width="45.38"/>
    <col customWidth="1" min="4" max="4" width="58.0"/>
    <col customWidth="1" min="5" max="5" width="13.75"/>
    <col customWidth="1" min="6" max="6" width="11.0"/>
    <col customWidth="1" min="7" max="7" width="29.5"/>
    <col customWidth="1" min="8" max="8" width="18.75"/>
    <col customWidth="1" min="9" max="9" width="56.63"/>
  </cols>
  <sheetData>
    <row r="1">
      <c r="A1" s="33"/>
      <c r="B1" s="34" t="s">
        <v>407</v>
      </c>
      <c r="C1" s="34" t="s">
        <v>408</v>
      </c>
      <c r="D1" s="34" t="s">
        <v>409</v>
      </c>
      <c r="E1" s="34" t="s">
        <v>410</v>
      </c>
      <c r="F1" s="35" t="s">
        <v>411</v>
      </c>
      <c r="G1" s="36"/>
      <c r="H1" s="36"/>
      <c r="I1" s="37"/>
    </row>
    <row r="2">
      <c r="A2" s="33"/>
      <c r="B2" s="34"/>
      <c r="C2" s="34"/>
      <c r="D2" s="34"/>
      <c r="E2" s="34"/>
      <c r="F2" s="38" t="s">
        <v>412</v>
      </c>
      <c r="G2" s="38" t="s">
        <v>413</v>
      </c>
      <c r="H2" s="38" t="s">
        <v>414</v>
      </c>
      <c r="I2" s="38" t="s">
        <v>415</v>
      </c>
    </row>
    <row r="3">
      <c r="A3" s="39" t="s">
        <v>0</v>
      </c>
      <c r="B3" s="40"/>
      <c r="C3" s="40" t="s">
        <v>416</v>
      </c>
      <c r="D3" s="41" t="s">
        <v>417</v>
      </c>
      <c r="E3" s="40" t="s">
        <v>418</v>
      </c>
      <c r="F3" s="42" t="s">
        <v>419</v>
      </c>
      <c r="G3" s="43"/>
      <c r="H3" s="43"/>
      <c r="I3" s="44"/>
    </row>
    <row r="4">
      <c r="A4" s="39" t="s">
        <v>1</v>
      </c>
      <c r="B4" s="45" t="s">
        <v>420</v>
      </c>
      <c r="C4" s="45" t="s">
        <v>421</v>
      </c>
      <c r="D4" s="46" t="s">
        <v>422</v>
      </c>
      <c r="E4" s="40" t="s">
        <v>423</v>
      </c>
      <c r="F4" s="47"/>
      <c r="G4" s="48"/>
      <c r="H4" s="48"/>
      <c r="I4" s="49"/>
    </row>
    <row r="5">
      <c r="A5" s="39"/>
      <c r="B5" s="50" t="s">
        <v>424</v>
      </c>
      <c r="E5" s="40"/>
      <c r="F5" s="51"/>
      <c r="G5" s="52"/>
      <c r="H5" s="52"/>
      <c r="I5" s="52"/>
    </row>
    <row r="6">
      <c r="A6" s="39" t="s">
        <v>2</v>
      </c>
      <c r="B6" s="53" t="s">
        <v>425</v>
      </c>
      <c r="C6" s="45" t="s">
        <v>426</v>
      </c>
      <c r="D6" s="54" t="s">
        <v>427</v>
      </c>
      <c r="E6" s="40" t="s">
        <v>418</v>
      </c>
      <c r="F6" s="55" t="s">
        <v>419</v>
      </c>
      <c r="G6" s="36"/>
      <c r="H6" s="36"/>
      <c r="I6" s="37"/>
    </row>
    <row r="7">
      <c r="A7" s="39" t="s">
        <v>3</v>
      </c>
      <c r="C7" s="45" t="s">
        <v>428</v>
      </c>
      <c r="D7" s="54" t="s">
        <v>429</v>
      </c>
      <c r="E7" s="40" t="s">
        <v>430</v>
      </c>
      <c r="F7" s="56"/>
      <c r="G7" s="57"/>
      <c r="H7" s="58" t="s">
        <v>431</v>
      </c>
      <c r="I7" s="59" t="s">
        <v>432</v>
      </c>
    </row>
    <row r="8">
      <c r="A8" s="39" t="s">
        <v>4</v>
      </c>
      <c r="C8" s="45" t="s">
        <v>433</v>
      </c>
      <c r="D8" s="54" t="s">
        <v>434</v>
      </c>
      <c r="E8" s="40" t="s">
        <v>430</v>
      </c>
      <c r="F8" s="56">
        <v>2017.0</v>
      </c>
      <c r="G8" s="57" t="s">
        <v>435</v>
      </c>
      <c r="H8" s="60"/>
      <c r="I8" s="60"/>
    </row>
    <row r="9">
      <c r="A9" s="39" t="s">
        <v>5</v>
      </c>
      <c r="C9" s="45" t="s">
        <v>436</v>
      </c>
      <c r="D9" s="46" t="s">
        <v>437</v>
      </c>
      <c r="E9" s="40" t="s">
        <v>430</v>
      </c>
      <c r="F9" s="56"/>
      <c r="G9" s="57"/>
      <c r="H9" s="60"/>
      <c r="I9" s="60"/>
    </row>
    <row r="10">
      <c r="A10" s="39" t="s">
        <v>6</v>
      </c>
      <c r="C10" s="45" t="s">
        <v>438</v>
      </c>
      <c r="D10" s="46" t="s">
        <v>439</v>
      </c>
      <c r="E10" s="40" t="s">
        <v>430</v>
      </c>
      <c r="F10" s="56"/>
      <c r="G10" s="57"/>
      <c r="H10" s="61"/>
      <c r="I10" s="61"/>
    </row>
    <row r="11">
      <c r="A11" s="39" t="s">
        <v>7</v>
      </c>
      <c r="C11" s="45" t="s">
        <v>440</v>
      </c>
      <c r="D11" s="54" t="s">
        <v>441</v>
      </c>
      <c r="E11" s="40" t="s">
        <v>430</v>
      </c>
      <c r="F11" s="56">
        <v>2005.0</v>
      </c>
      <c r="G11" s="57" t="s">
        <v>442</v>
      </c>
      <c r="H11" s="62" t="s">
        <v>443</v>
      </c>
      <c r="I11" s="63" t="s">
        <v>444</v>
      </c>
    </row>
    <row r="12">
      <c r="A12" s="64"/>
      <c r="B12" s="65" t="s">
        <v>445</v>
      </c>
      <c r="E12" s="13"/>
      <c r="F12" s="66"/>
      <c r="G12" s="67"/>
      <c r="H12" s="67"/>
      <c r="I12" s="67"/>
    </row>
    <row r="13">
      <c r="A13" s="39" t="s">
        <v>8</v>
      </c>
      <c r="B13" s="53" t="s">
        <v>446</v>
      </c>
      <c r="C13" s="45" t="s">
        <v>447</v>
      </c>
      <c r="D13" s="45" t="s">
        <v>448</v>
      </c>
      <c r="E13" s="15" t="s">
        <v>430</v>
      </c>
      <c r="F13" s="66"/>
      <c r="G13" s="67"/>
      <c r="H13" s="58" t="s">
        <v>443</v>
      </c>
      <c r="I13" s="59" t="s">
        <v>449</v>
      </c>
    </row>
    <row r="14">
      <c r="A14" s="39" t="s">
        <v>9</v>
      </c>
      <c r="B14" s="53" t="s">
        <v>446</v>
      </c>
      <c r="C14" s="45" t="s">
        <v>450</v>
      </c>
      <c r="D14" s="68" t="s">
        <v>451</v>
      </c>
      <c r="E14" s="15" t="s">
        <v>430</v>
      </c>
      <c r="F14" s="66"/>
      <c r="G14" s="67"/>
      <c r="H14" s="60"/>
      <c r="I14" s="60"/>
    </row>
    <row r="15">
      <c r="A15" s="39" t="s">
        <v>10</v>
      </c>
      <c r="B15" s="53" t="s">
        <v>452</v>
      </c>
      <c r="C15" s="45" t="s">
        <v>453</v>
      </c>
      <c r="D15" s="45" t="s">
        <v>454</v>
      </c>
      <c r="E15" s="15" t="s">
        <v>430</v>
      </c>
      <c r="F15" s="69">
        <v>2016.0</v>
      </c>
      <c r="G15" s="70" t="s">
        <v>455</v>
      </c>
      <c r="H15" s="60"/>
      <c r="I15" s="60"/>
    </row>
    <row r="16">
      <c r="A16" s="39" t="s">
        <v>11</v>
      </c>
      <c r="B16" s="53" t="s">
        <v>452</v>
      </c>
      <c r="C16" s="45" t="s">
        <v>456</v>
      </c>
      <c r="D16" s="45" t="s">
        <v>457</v>
      </c>
      <c r="E16" s="15" t="s">
        <v>430</v>
      </c>
      <c r="F16" s="69">
        <v>1995.0</v>
      </c>
      <c r="G16" s="70" t="s">
        <v>458</v>
      </c>
      <c r="H16" s="60"/>
      <c r="I16" s="60"/>
    </row>
    <row r="17">
      <c r="A17" s="39" t="s">
        <v>12</v>
      </c>
      <c r="B17" s="53" t="s">
        <v>452</v>
      </c>
      <c r="C17" s="45" t="s">
        <v>459</v>
      </c>
      <c r="D17" s="45" t="s">
        <v>460</v>
      </c>
      <c r="E17" s="15" t="s">
        <v>430</v>
      </c>
      <c r="F17" s="66"/>
      <c r="G17" s="67"/>
      <c r="H17" s="60"/>
      <c r="I17" s="60"/>
    </row>
    <row r="18">
      <c r="A18" s="39" t="s">
        <v>13</v>
      </c>
      <c r="B18" s="53" t="s">
        <v>452</v>
      </c>
      <c r="C18" s="45" t="s">
        <v>461</v>
      </c>
      <c r="D18" s="71" t="s">
        <v>462</v>
      </c>
      <c r="E18" s="15" t="s">
        <v>430</v>
      </c>
      <c r="F18" s="66"/>
      <c r="G18" s="67"/>
      <c r="H18" s="61"/>
      <c r="I18" s="61"/>
    </row>
    <row r="19">
      <c r="A19" s="39" t="s">
        <v>14</v>
      </c>
      <c r="B19" s="50" t="s">
        <v>463</v>
      </c>
      <c r="F19" s="72" t="s">
        <v>419</v>
      </c>
      <c r="G19" s="36"/>
      <c r="H19" s="36"/>
      <c r="I19" s="37"/>
    </row>
    <row r="20">
      <c r="A20" s="33"/>
      <c r="B20" s="65" t="s">
        <v>464</v>
      </c>
      <c r="F20" s="73"/>
      <c r="G20" s="74"/>
      <c r="H20" s="74"/>
      <c r="I20" s="74"/>
    </row>
    <row r="21">
      <c r="A21" s="39" t="s">
        <v>15</v>
      </c>
      <c r="B21" s="53" t="s">
        <v>465</v>
      </c>
      <c r="C21" s="45" t="s">
        <v>466</v>
      </c>
      <c r="D21" s="75" t="s">
        <v>467</v>
      </c>
      <c r="E21" s="15" t="s">
        <v>430</v>
      </c>
      <c r="F21" s="76" t="s">
        <v>468</v>
      </c>
      <c r="G21" s="77" t="s">
        <v>469</v>
      </c>
      <c r="H21" s="77" t="s">
        <v>470</v>
      </c>
      <c r="I21" s="78" t="s">
        <v>471</v>
      </c>
    </row>
    <row r="22">
      <c r="A22" s="39" t="s">
        <v>16</v>
      </c>
      <c r="B22" s="53" t="s">
        <v>472</v>
      </c>
      <c r="C22" s="45" t="s">
        <v>473</v>
      </c>
      <c r="D22" s="75" t="s">
        <v>474</v>
      </c>
      <c r="E22" s="40" t="s">
        <v>423</v>
      </c>
      <c r="F22" s="79" t="s">
        <v>419</v>
      </c>
      <c r="G22" s="36"/>
      <c r="H22" s="36"/>
      <c r="I22" s="37"/>
    </row>
    <row r="23">
      <c r="A23" s="39" t="s">
        <v>17</v>
      </c>
      <c r="C23" s="40" t="s">
        <v>475</v>
      </c>
      <c r="D23" s="46" t="s">
        <v>476</v>
      </c>
      <c r="F23" s="55" t="s">
        <v>419</v>
      </c>
      <c r="G23" s="36"/>
      <c r="H23" s="36"/>
      <c r="I23" s="37"/>
    </row>
    <row r="24">
      <c r="A24" s="33"/>
      <c r="F24" s="51"/>
      <c r="G24" s="52"/>
      <c r="H24" s="52"/>
      <c r="I24" s="52"/>
    </row>
    <row r="25">
      <c r="A25" s="33"/>
      <c r="E25" s="40"/>
      <c r="F25" s="51"/>
      <c r="G25" s="52"/>
      <c r="H25" s="52"/>
      <c r="I25" s="52"/>
    </row>
    <row r="26">
      <c r="A26" s="33"/>
      <c r="F26" s="51"/>
      <c r="G26" s="52"/>
      <c r="H26" s="52"/>
      <c r="I26" s="52"/>
    </row>
    <row r="27">
      <c r="A27" s="33"/>
      <c r="F27" s="51"/>
      <c r="G27" s="52"/>
      <c r="H27" s="52"/>
      <c r="I27" s="52"/>
    </row>
    <row r="28">
      <c r="A28" s="33"/>
      <c r="F28" s="51"/>
      <c r="G28" s="52"/>
      <c r="H28" s="52"/>
      <c r="I28" s="52"/>
    </row>
    <row r="29">
      <c r="A29" s="33"/>
      <c r="F29" s="51"/>
      <c r="G29" s="52"/>
      <c r="H29" s="52"/>
      <c r="I29" s="52"/>
    </row>
    <row r="30">
      <c r="A30" s="33"/>
      <c r="F30" s="51"/>
      <c r="G30" s="52"/>
      <c r="H30" s="52"/>
      <c r="I30" s="52"/>
    </row>
    <row r="31">
      <c r="A31" s="33"/>
      <c r="F31" s="51"/>
      <c r="G31" s="52"/>
      <c r="H31" s="52"/>
      <c r="I31" s="52"/>
    </row>
    <row r="32">
      <c r="A32" s="33"/>
      <c r="F32" s="51"/>
      <c r="G32" s="52"/>
      <c r="H32" s="52"/>
      <c r="I32" s="52"/>
    </row>
    <row r="33">
      <c r="A33" s="33"/>
      <c r="F33" s="51"/>
      <c r="G33" s="52"/>
      <c r="H33" s="52"/>
      <c r="I33" s="52"/>
    </row>
    <row r="34">
      <c r="A34" s="33"/>
      <c r="F34" s="51"/>
      <c r="G34" s="52"/>
      <c r="H34" s="52"/>
      <c r="I34" s="52"/>
    </row>
    <row r="35">
      <c r="A35" s="33"/>
      <c r="F35" s="51"/>
      <c r="G35" s="52"/>
      <c r="H35" s="52"/>
      <c r="I35" s="52"/>
    </row>
    <row r="36">
      <c r="A36" s="33"/>
      <c r="F36" s="51"/>
      <c r="G36" s="52"/>
      <c r="H36" s="52"/>
      <c r="I36" s="52"/>
    </row>
    <row r="37">
      <c r="A37" s="33"/>
      <c r="F37" s="51"/>
      <c r="G37" s="52"/>
      <c r="H37" s="52"/>
      <c r="I37" s="52"/>
    </row>
    <row r="38">
      <c r="A38" s="33"/>
      <c r="F38" s="51"/>
      <c r="G38" s="52"/>
      <c r="H38" s="52"/>
      <c r="I38" s="52"/>
    </row>
    <row r="39">
      <c r="A39" s="33"/>
      <c r="F39" s="51"/>
      <c r="G39" s="52"/>
      <c r="H39" s="52"/>
      <c r="I39" s="52"/>
    </row>
    <row r="40">
      <c r="A40" s="33"/>
      <c r="F40" s="51"/>
      <c r="G40" s="52"/>
      <c r="H40" s="52"/>
      <c r="I40" s="52"/>
    </row>
    <row r="41">
      <c r="A41" s="33"/>
      <c r="F41" s="51"/>
      <c r="G41" s="52"/>
      <c r="H41" s="52"/>
      <c r="I41" s="52"/>
    </row>
    <row r="42">
      <c r="A42" s="33"/>
      <c r="F42" s="51"/>
      <c r="G42" s="52"/>
      <c r="H42" s="52"/>
      <c r="I42" s="52"/>
    </row>
    <row r="43">
      <c r="A43" s="33"/>
      <c r="F43" s="51"/>
      <c r="G43" s="52"/>
      <c r="H43" s="52"/>
      <c r="I43" s="52"/>
    </row>
    <row r="44">
      <c r="A44" s="33"/>
      <c r="F44" s="51"/>
      <c r="G44" s="52"/>
      <c r="H44" s="52"/>
      <c r="I44" s="52"/>
    </row>
    <row r="45">
      <c r="A45" s="33"/>
      <c r="F45" s="51"/>
      <c r="G45" s="52"/>
      <c r="H45" s="52"/>
      <c r="I45" s="52"/>
    </row>
    <row r="46">
      <c r="A46" s="33"/>
      <c r="F46" s="51"/>
      <c r="G46" s="52"/>
      <c r="H46" s="52"/>
      <c r="I46" s="52"/>
    </row>
    <row r="47">
      <c r="A47" s="33"/>
      <c r="F47" s="51"/>
      <c r="G47" s="52"/>
      <c r="H47" s="52"/>
      <c r="I47" s="52"/>
    </row>
    <row r="48">
      <c r="A48" s="33"/>
      <c r="F48" s="51"/>
      <c r="G48" s="52"/>
      <c r="H48" s="52"/>
      <c r="I48" s="52"/>
    </row>
    <row r="49">
      <c r="A49" s="33"/>
      <c r="F49" s="51"/>
      <c r="G49" s="52"/>
      <c r="H49" s="52"/>
      <c r="I49" s="52"/>
    </row>
    <row r="50">
      <c r="A50" s="33"/>
      <c r="F50" s="51"/>
      <c r="G50" s="52"/>
      <c r="H50" s="52"/>
      <c r="I50" s="52"/>
    </row>
    <row r="51">
      <c r="A51" s="33"/>
      <c r="F51" s="51"/>
      <c r="G51" s="52"/>
      <c r="H51" s="52"/>
      <c r="I51" s="52"/>
    </row>
    <row r="52">
      <c r="A52" s="33"/>
      <c r="F52" s="51"/>
      <c r="G52" s="52"/>
      <c r="H52" s="52"/>
      <c r="I52" s="52"/>
    </row>
    <row r="53">
      <c r="A53" s="33"/>
      <c r="F53" s="51"/>
      <c r="G53" s="52"/>
      <c r="H53" s="52"/>
      <c r="I53" s="52"/>
    </row>
    <row r="54">
      <c r="A54" s="33"/>
      <c r="F54" s="51"/>
      <c r="G54" s="52"/>
      <c r="H54" s="52"/>
      <c r="I54" s="52"/>
    </row>
    <row r="55">
      <c r="A55" s="33"/>
      <c r="F55" s="51"/>
      <c r="G55" s="52"/>
      <c r="H55" s="52"/>
      <c r="I55" s="52"/>
    </row>
    <row r="56">
      <c r="A56" s="33"/>
      <c r="F56" s="51"/>
      <c r="G56" s="52"/>
      <c r="H56" s="52"/>
      <c r="I56" s="52"/>
    </row>
    <row r="57">
      <c r="A57" s="33"/>
      <c r="F57" s="51"/>
      <c r="G57" s="52"/>
      <c r="H57" s="52"/>
      <c r="I57" s="52"/>
    </row>
    <row r="58">
      <c r="A58" s="33"/>
      <c r="F58" s="51"/>
      <c r="G58" s="52"/>
      <c r="H58" s="52"/>
      <c r="I58" s="52"/>
    </row>
    <row r="59">
      <c r="A59" s="33"/>
      <c r="F59" s="51"/>
      <c r="G59" s="52"/>
      <c r="H59" s="52"/>
      <c r="I59" s="52"/>
    </row>
    <row r="60">
      <c r="A60" s="33"/>
      <c r="F60" s="51"/>
      <c r="G60" s="52"/>
      <c r="H60" s="52"/>
      <c r="I60" s="52"/>
    </row>
    <row r="61">
      <c r="A61" s="33"/>
      <c r="F61" s="51"/>
      <c r="G61" s="52"/>
      <c r="H61" s="52"/>
      <c r="I61" s="52"/>
    </row>
    <row r="62">
      <c r="A62" s="33"/>
      <c r="F62" s="51"/>
      <c r="G62" s="52"/>
      <c r="H62" s="52"/>
      <c r="I62" s="52"/>
    </row>
    <row r="63">
      <c r="A63" s="33"/>
      <c r="F63" s="51"/>
      <c r="G63" s="52"/>
      <c r="H63" s="52"/>
      <c r="I63" s="52"/>
    </row>
    <row r="64">
      <c r="A64" s="33"/>
      <c r="F64" s="51"/>
      <c r="G64" s="52"/>
      <c r="H64" s="52"/>
      <c r="I64" s="52"/>
    </row>
    <row r="65">
      <c r="A65" s="33"/>
      <c r="F65" s="51"/>
      <c r="G65" s="52"/>
      <c r="H65" s="52"/>
      <c r="I65" s="52"/>
    </row>
    <row r="66">
      <c r="A66" s="33"/>
      <c r="F66" s="51"/>
      <c r="G66" s="52"/>
      <c r="H66" s="52"/>
      <c r="I66" s="52"/>
    </row>
    <row r="67">
      <c r="A67" s="33"/>
      <c r="F67" s="51"/>
      <c r="G67" s="52"/>
      <c r="H67" s="52"/>
      <c r="I67" s="52"/>
    </row>
    <row r="68">
      <c r="A68" s="33"/>
      <c r="F68" s="51"/>
      <c r="G68" s="52"/>
      <c r="H68" s="52"/>
      <c r="I68" s="52"/>
    </row>
    <row r="69">
      <c r="A69" s="33"/>
      <c r="F69" s="51"/>
      <c r="G69" s="52"/>
      <c r="H69" s="52"/>
      <c r="I69" s="52"/>
    </row>
    <row r="70">
      <c r="A70" s="33"/>
      <c r="F70" s="51"/>
      <c r="G70" s="52"/>
      <c r="H70" s="52"/>
      <c r="I70" s="52"/>
    </row>
    <row r="71">
      <c r="A71" s="33"/>
      <c r="F71" s="51"/>
      <c r="G71" s="52"/>
      <c r="H71" s="52"/>
      <c r="I71" s="52"/>
    </row>
    <row r="72">
      <c r="A72" s="33"/>
      <c r="F72" s="51"/>
      <c r="G72" s="52"/>
      <c r="H72" s="52"/>
      <c r="I72" s="52"/>
    </row>
    <row r="73">
      <c r="A73" s="33"/>
      <c r="F73" s="51"/>
      <c r="G73" s="52"/>
      <c r="H73" s="52"/>
      <c r="I73" s="52"/>
    </row>
    <row r="74">
      <c r="A74" s="33"/>
      <c r="F74" s="51"/>
      <c r="G74" s="52"/>
      <c r="H74" s="52"/>
      <c r="I74" s="52"/>
    </row>
    <row r="75">
      <c r="A75" s="33"/>
      <c r="F75" s="51"/>
      <c r="G75" s="52"/>
      <c r="H75" s="52"/>
      <c r="I75" s="52"/>
    </row>
    <row r="76">
      <c r="A76" s="33"/>
      <c r="F76" s="51"/>
      <c r="G76" s="52"/>
      <c r="H76" s="52"/>
      <c r="I76" s="52"/>
    </row>
    <row r="77">
      <c r="A77" s="33"/>
      <c r="F77" s="51"/>
      <c r="G77" s="52"/>
      <c r="H77" s="52"/>
      <c r="I77" s="52"/>
    </row>
    <row r="78">
      <c r="A78" s="33"/>
      <c r="F78" s="51"/>
      <c r="G78" s="52"/>
      <c r="H78" s="52"/>
      <c r="I78" s="52"/>
    </row>
    <row r="79">
      <c r="A79" s="33"/>
      <c r="F79" s="51"/>
      <c r="G79" s="52"/>
      <c r="H79" s="52"/>
      <c r="I79" s="52"/>
    </row>
    <row r="80">
      <c r="A80" s="33"/>
      <c r="F80" s="51"/>
      <c r="G80" s="52"/>
      <c r="H80" s="52"/>
      <c r="I80" s="52"/>
    </row>
    <row r="81">
      <c r="A81" s="33"/>
      <c r="F81" s="51"/>
      <c r="G81" s="52"/>
      <c r="H81" s="52"/>
      <c r="I81" s="52"/>
    </row>
    <row r="82">
      <c r="A82" s="33"/>
      <c r="F82" s="51"/>
      <c r="G82" s="52"/>
      <c r="H82" s="52"/>
      <c r="I82" s="52"/>
    </row>
    <row r="83">
      <c r="A83" s="33"/>
      <c r="F83" s="51"/>
      <c r="G83" s="52"/>
      <c r="H83" s="52"/>
      <c r="I83" s="52"/>
    </row>
    <row r="84">
      <c r="A84" s="33"/>
      <c r="F84" s="51"/>
      <c r="G84" s="52"/>
      <c r="H84" s="52"/>
      <c r="I84" s="52"/>
    </row>
    <row r="85">
      <c r="A85" s="33"/>
      <c r="F85" s="51"/>
      <c r="G85" s="52"/>
      <c r="H85" s="52"/>
      <c r="I85" s="52"/>
    </row>
    <row r="86">
      <c r="A86" s="33"/>
      <c r="F86" s="51"/>
      <c r="G86" s="52"/>
      <c r="H86" s="52"/>
      <c r="I86" s="52"/>
    </row>
    <row r="87">
      <c r="A87" s="33"/>
      <c r="F87" s="51"/>
      <c r="G87" s="52"/>
      <c r="H87" s="52"/>
      <c r="I87" s="52"/>
    </row>
    <row r="88">
      <c r="A88" s="33"/>
      <c r="F88" s="51"/>
      <c r="G88" s="52"/>
      <c r="H88" s="52"/>
      <c r="I88" s="52"/>
    </row>
    <row r="89">
      <c r="A89" s="33"/>
      <c r="F89" s="51"/>
      <c r="G89" s="52"/>
      <c r="H89" s="52"/>
      <c r="I89" s="52"/>
    </row>
    <row r="90">
      <c r="A90" s="33"/>
      <c r="F90" s="51"/>
      <c r="G90" s="52"/>
      <c r="H90" s="52"/>
      <c r="I90" s="52"/>
    </row>
    <row r="91">
      <c r="A91" s="33"/>
      <c r="F91" s="51"/>
      <c r="G91" s="52"/>
      <c r="H91" s="52"/>
      <c r="I91" s="52"/>
    </row>
    <row r="92">
      <c r="A92" s="33"/>
      <c r="F92" s="51"/>
      <c r="G92" s="52"/>
      <c r="H92" s="52"/>
      <c r="I92" s="52"/>
    </row>
    <row r="93">
      <c r="A93" s="33"/>
      <c r="F93" s="51"/>
      <c r="G93" s="52"/>
      <c r="H93" s="52"/>
      <c r="I93" s="52"/>
    </row>
    <row r="94">
      <c r="A94" s="33"/>
      <c r="F94" s="51"/>
      <c r="G94" s="52"/>
      <c r="H94" s="52"/>
      <c r="I94" s="52"/>
    </row>
    <row r="95">
      <c r="A95" s="33"/>
      <c r="F95" s="51"/>
      <c r="G95" s="52"/>
      <c r="H95" s="52"/>
      <c r="I95" s="52"/>
    </row>
    <row r="96">
      <c r="A96" s="33"/>
      <c r="F96" s="51"/>
      <c r="G96" s="52"/>
      <c r="H96" s="52"/>
      <c r="I96" s="52"/>
    </row>
    <row r="97">
      <c r="A97" s="33"/>
      <c r="F97" s="51"/>
      <c r="G97" s="52"/>
      <c r="H97" s="52"/>
      <c r="I97" s="52"/>
    </row>
    <row r="98">
      <c r="A98" s="33"/>
      <c r="F98" s="51"/>
      <c r="G98" s="52"/>
      <c r="H98" s="52"/>
      <c r="I98" s="52"/>
    </row>
    <row r="99">
      <c r="A99" s="33"/>
      <c r="F99" s="51"/>
      <c r="G99" s="52"/>
      <c r="H99" s="52"/>
      <c r="I99" s="52"/>
    </row>
    <row r="100">
      <c r="A100" s="33"/>
      <c r="F100" s="51"/>
      <c r="G100" s="52"/>
      <c r="H100" s="52"/>
      <c r="I100" s="52"/>
    </row>
    <row r="101">
      <c r="A101" s="33"/>
      <c r="F101" s="51"/>
      <c r="G101" s="52"/>
      <c r="H101" s="52"/>
      <c r="I101" s="52"/>
    </row>
    <row r="102">
      <c r="A102" s="33"/>
      <c r="F102" s="51"/>
      <c r="G102" s="52"/>
      <c r="H102" s="52"/>
      <c r="I102" s="52"/>
    </row>
    <row r="103">
      <c r="A103" s="33"/>
      <c r="F103" s="51"/>
      <c r="G103" s="52"/>
      <c r="H103" s="52"/>
      <c r="I103" s="52"/>
    </row>
    <row r="104">
      <c r="A104" s="33"/>
      <c r="F104" s="51"/>
      <c r="G104" s="52"/>
      <c r="H104" s="52"/>
      <c r="I104" s="52"/>
    </row>
    <row r="105">
      <c r="A105" s="33"/>
      <c r="F105" s="51"/>
      <c r="G105" s="52"/>
      <c r="H105" s="52"/>
      <c r="I105" s="52"/>
    </row>
    <row r="106">
      <c r="A106" s="33"/>
      <c r="F106" s="51"/>
      <c r="G106" s="52"/>
      <c r="H106" s="52"/>
      <c r="I106" s="52"/>
    </row>
    <row r="107">
      <c r="A107" s="33"/>
      <c r="F107" s="51"/>
      <c r="G107" s="52"/>
      <c r="H107" s="52"/>
      <c r="I107" s="52"/>
    </row>
    <row r="108">
      <c r="A108" s="33"/>
      <c r="F108" s="51"/>
      <c r="G108" s="52"/>
      <c r="H108" s="52"/>
      <c r="I108" s="52"/>
    </row>
    <row r="109">
      <c r="A109" s="33"/>
      <c r="F109" s="51"/>
      <c r="G109" s="52"/>
      <c r="H109" s="52"/>
      <c r="I109" s="52"/>
    </row>
    <row r="110">
      <c r="A110" s="33"/>
      <c r="F110" s="51"/>
      <c r="G110" s="52"/>
      <c r="H110" s="52"/>
      <c r="I110" s="52"/>
    </row>
    <row r="111">
      <c r="A111" s="33"/>
      <c r="F111" s="51"/>
      <c r="G111" s="52"/>
      <c r="H111" s="52"/>
      <c r="I111" s="52"/>
    </row>
    <row r="112">
      <c r="A112" s="33"/>
      <c r="F112" s="51"/>
      <c r="G112" s="52"/>
      <c r="H112" s="52"/>
      <c r="I112" s="52"/>
    </row>
    <row r="113">
      <c r="A113" s="33"/>
      <c r="F113" s="51"/>
      <c r="G113" s="52"/>
      <c r="H113" s="52"/>
      <c r="I113" s="52"/>
    </row>
    <row r="114">
      <c r="A114" s="33"/>
      <c r="F114" s="51"/>
      <c r="G114" s="52"/>
      <c r="H114" s="52"/>
      <c r="I114" s="52"/>
    </row>
    <row r="115">
      <c r="A115" s="33"/>
      <c r="F115" s="51"/>
      <c r="G115" s="52"/>
      <c r="H115" s="52"/>
      <c r="I115" s="52"/>
    </row>
    <row r="116">
      <c r="A116" s="33"/>
      <c r="F116" s="51"/>
      <c r="G116" s="52"/>
      <c r="H116" s="52"/>
      <c r="I116" s="52"/>
    </row>
    <row r="117">
      <c r="A117" s="33"/>
      <c r="F117" s="51"/>
      <c r="G117" s="52"/>
      <c r="H117" s="52"/>
      <c r="I117" s="52"/>
    </row>
    <row r="118">
      <c r="A118" s="33"/>
      <c r="F118" s="51"/>
      <c r="G118" s="52"/>
      <c r="H118" s="52"/>
      <c r="I118" s="52"/>
    </row>
    <row r="119">
      <c r="A119" s="33"/>
      <c r="F119" s="51"/>
      <c r="G119" s="52"/>
      <c r="H119" s="52"/>
      <c r="I119" s="52"/>
    </row>
    <row r="120">
      <c r="A120" s="33"/>
      <c r="F120" s="51"/>
      <c r="G120" s="52"/>
      <c r="H120" s="52"/>
      <c r="I120" s="52"/>
    </row>
    <row r="121">
      <c r="A121" s="33"/>
      <c r="F121" s="51"/>
      <c r="G121" s="52"/>
      <c r="H121" s="52"/>
      <c r="I121" s="52"/>
    </row>
    <row r="122">
      <c r="A122" s="33"/>
      <c r="F122" s="51"/>
      <c r="G122" s="52"/>
      <c r="H122" s="52"/>
      <c r="I122" s="52"/>
    </row>
    <row r="123">
      <c r="A123" s="33"/>
      <c r="F123" s="51"/>
      <c r="G123" s="52"/>
      <c r="H123" s="52"/>
      <c r="I123" s="52"/>
    </row>
    <row r="124">
      <c r="A124" s="33"/>
      <c r="F124" s="51"/>
      <c r="G124" s="52"/>
      <c r="H124" s="52"/>
      <c r="I124" s="52"/>
    </row>
    <row r="125">
      <c r="A125" s="33"/>
      <c r="F125" s="51"/>
      <c r="G125" s="52"/>
      <c r="H125" s="52"/>
      <c r="I125" s="52"/>
    </row>
    <row r="126">
      <c r="A126" s="33"/>
      <c r="F126" s="51"/>
      <c r="G126" s="52"/>
      <c r="H126" s="52"/>
      <c r="I126" s="52"/>
    </row>
    <row r="127">
      <c r="A127" s="33"/>
      <c r="F127" s="51"/>
      <c r="G127" s="52"/>
      <c r="H127" s="52"/>
      <c r="I127" s="52"/>
    </row>
    <row r="128">
      <c r="A128" s="33"/>
      <c r="F128" s="51"/>
      <c r="G128" s="52"/>
      <c r="H128" s="52"/>
      <c r="I128" s="52"/>
    </row>
    <row r="129">
      <c r="A129" s="33"/>
      <c r="F129" s="51"/>
      <c r="G129" s="52"/>
      <c r="H129" s="52"/>
      <c r="I129" s="52"/>
    </row>
    <row r="130">
      <c r="A130" s="33"/>
      <c r="F130" s="51"/>
      <c r="G130" s="52"/>
      <c r="H130" s="52"/>
      <c r="I130" s="52"/>
    </row>
    <row r="131">
      <c r="A131" s="33"/>
      <c r="F131" s="51"/>
      <c r="G131" s="52"/>
      <c r="H131" s="52"/>
      <c r="I131" s="52"/>
    </row>
    <row r="132">
      <c r="A132" s="33"/>
      <c r="F132" s="51"/>
      <c r="G132" s="52"/>
      <c r="H132" s="52"/>
      <c r="I132" s="52"/>
    </row>
    <row r="133">
      <c r="A133" s="33"/>
      <c r="F133" s="51"/>
      <c r="G133" s="52"/>
      <c r="H133" s="52"/>
      <c r="I133" s="52"/>
    </row>
    <row r="134">
      <c r="A134" s="33"/>
      <c r="F134" s="51"/>
      <c r="G134" s="52"/>
      <c r="H134" s="52"/>
      <c r="I134" s="52"/>
    </row>
    <row r="135">
      <c r="A135" s="33"/>
      <c r="F135" s="51"/>
      <c r="G135" s="52"/>
      <c r="H135" s="52"/>
      <c r="I135" s="52"/>
    </row>
    <row r="136">
      <c r="A136" s="33"/>
      <c r="F136" s="51"/>
      <c r="G136" s="52"/>
      <c r="H136" s="52"/>
      <c r="I136" s="52"/>
    </row>
    <row r="137">
      <c r="A137" s="33"/>
      <c r="F137" s="51"/>
      <c r="G137" s="52"/>
      <c r="H137" s="52"/>
      <c r="I137" s="52"/>
    </row>
    <row r="138">
      <c r="A138" s="33"/>
      <c r="F138" s="51"/>
      <c r="G138" s="52"/>
      <c r="H138" s="52"/>
      <c r="I138" s="52"/>
    </row>
    <row r="139">
      <c r="A139" s="33"/>
      <c r="F139" s="51"/>
      <c r="G139" s="52"/>
      <c r="H139" s="52"/>
      <c r="I139" s="52"/>
    </row>
    <row r="140">
      <c r="A140" s="33"/>
      <c r="F140" s="51"/>
      <c r="G140" s="52"/>
      <c r="H140" s="52"/>
      <c r="I140" s="52"/>
    </row>
    <row r="141">
      <c r="A141" s="33"/>
      <c r="F141" s="51"/>
      <c r="G141" s="52"/>
      <c r="H141" s="52"/>
      <c r="I141" s="52"/>
    </row>
    <row r="142">
      <c r="A142" s="33"/>
      <c r="F142" s="51"/>
      <c r="G142" s="52"/>
      <c r="H142" s="52"/>
      <c r="I142" s="52"/>
    </row>
    <row r="143">
      <c r="A143" s="33"/>
      <c r="F143" s="51"/>
      <c r="G143" s="52"/>
      <c r="H143" s="52"/>
      <c r="I143" s="52"/>
    </row>
    <row r="144">
      <c r="A144" s="33"/>
      <c r="F144" s="51"/>
      <c r="G144" s="52"/>
      <c r="H144" s="52"/>
      <c r="I144" s="52"/>
    </row>
    <row r="145">
      <c r="A145" s="33"/>
      <c r="F145" s="51"/>
      <c r="G145" s="52"/>
      <c r="H145" s="52"/>
      <c r="I145" s="52"/>
    </row>
    <row r="146">
      <c r="A146" s="33"/>
      <c r="F146" s="51"/>
      <c r="G146" s="52"/>
      <c r="H146" s="52"/>
      <c r="I146" s="52"/>
    </row>
    <row r="147">
      <c r="A147" s="33"/>
      <c r="F147" s="51"/>
      <c r="G147" s="52"/>
      <c r="H147" s="52"/>
      <c r="I147" s="52"/>
    </row>
    <row r="148">
      <c r="A148" s="33"/>
      <c r="F148" s="51"/>
      <c r="G148" s="52"/>
      <c r="H148" s="52"/>
      <c r="I148" s="52"/>
    </row>
    <row r="149">
      <c r="A149" s="33"/>
      <c r="F149" s="51"/>
      <c r="G149" s="52"/>
      <c r="H149" s="52"/>
      <c r="I149" s="52"/>
    </row>
    <row r="150">
      <c r="A150" s="33"/>
      <c r="F150" s="51"/>
      <c r="G150" s="52"/>
      <c r="H150" s="52"/>
      <c r="I150" s="52"/>
    </row>
    <row r="151">
      <c r="A151" s="33"/>
      <c r="F151" s="51"/>
      <c r="G151" s="52"/>
      <c r="H151" s="52"/>
      <c r="I151" s="52"/>
    </row>
    <row r="152">
      <c r="A152" s="33"/>
      <c r="F152" s="51"/>
      <c r="G152" s="52"/>
      <c r="H152" s="52"/>
      <c r="I152" s="52"/>
    </row>
    <row r="153">
      <c r="A153" s="33"/>
      <c r="F153" s="51"/>
      <c r="G153" s="52"/>
      <c r="H153" s="52"/>
      <c r="I153" s="52"/>
    </row>
    <row r="154">
      <c r="A154" s="33"/>
      <c r="F154" s="51"/>
      <c r="G154" s="52"/>
      <c r="H154" s="52"/>
      <c r="I154" s="52"/>
    </row>
    <row r="155">
      <c r="A155" s="33"/>
      <c r="F155" s="51"/>
      <c r="G155" s="52"/>
      <c r="H155" s="52"/>
      <c r="I155" s="52"/>
    </row>
    <row r="156">
      <c r="A156" s="33"/>
      <c r="F156" s="51"/>
      <c r="G156" s="52"/>
      <c r="H156" s="52"/>
      <c r="I156" s="52"/>
    </row>
    <row r="157">
      <c r="A157" s="33"/>
      <c r="F157" s="51"/>
      <c r="G157" s="52"/>
      <c r="H157" s="52"/>
      <c r="I157" s="52"/>
    </row>
    <row r="158">
      <c r="A158" s="33"/>
      <c r="F158" s="51"/>
      <c r="G158" s="52"/>
      <c r="H158" s="52"/>
      <c r="I158" s="52"/>
    </row>
    <row r="159">
      <c r="A159" s="33"/>
      <c r="F159" s="51"/>
      <c r="G159" s="52"/>
      <c r="H159" s="52"/>
      <c r="I159" s="52"/>
    </row>
    <row r="160">
      <c r="A160" s="33"/>
      <c r="F160" s="51"/>
      <c r="G160" s="52"/>
      <c r="H160" s="52"/>
      <c r="I160" s="52"/>
    </row>
    <row r="161">
      <c r="A161" s="33"/>
      <c r="F161" s="51"/>
      <c r="G161" s="52"/>
      <c r="H161" s="52"/>
      <c r="I161" s="52"/>
    </row>
    <row r="162">
      <c r="A162" s="33"/>
      <c r="F162" s="51"/>
      <c r="G162" s="52"/>
      <c r="H162" s="52"/>
      <c r="I162" s="52"/>
    </row>
    <row r="163">
      <c r="A163" s="33"/>
      <c r="F163" s="51"/>
      <c r="G163" s="52"/>
      <c r="H163" s="52"/>
      <c r="I163" s="52"/>
    </row>
    <row r="164">
      <c r="A164" s="33"/>
      <c r="F164" s="51"/>
      <c r="G164" s="52"/>
      <c r="H164" s="52"/>
      <c r="I164" s="52"/>
    </row>
    <row r="165">
      <c r="A165" s="33"/>
      <c r="F165" s="51"/>
      <c r="G165" s="52"/>
      <c r="H165" s="52"/>
      <c r="I165" s="52"/>
    </row>
    <row r="166">
      <c r="A166" s="33"/>
      <c r="F166" s="51"/>
      <c r="G166" s="52"/>
      <c r="H166" s="52"/>
      <c r="I166" s="52"/>
    </row>
    <row r="167">
      <c r="A167" s="33"/>
      <c r="F167" s="51"/>
      <c r="G167" s="52"/>
      <c r="H167" s="52"/>
      <c r="I167" s="52"/>
    </row>
    <row r="168">
      <c r="A168" s="33"/>
      <c r="F168" s="51"/>
      <c r="G168" s="52"/>
      <c r="H168" s="52"/>
      <c r="I168" s="52"/>
    </row>
    <row r="169">
      <c r="A169" s="33"/>
      <c r="F169" s="51"/>
      <c r="G169" s="52"/>
      <c r="H169" s="52"/>
      <c r="I169" s="52"/>
    </row>
    <row r="170">
      <c r="A170" s="33"/>
      <c r="F170" s="51"/>
      <c r="G170" s="52"/>
      <c r="H170" s="52"/>
      <c r="I170" s="52"/>
    </row>
    <row r="171">
      <c r="A171" s="33"/>
      <c r="F171" s="51"/>
      <c r="G171" s="52"/>
      <c r="H171" s="52"/>
      <c r="I171" s="52"/>
    </row>
    <row r="172">
      <c r="A172" s="33"/>
      <c r="F172" s="51"/>
      <c r="G172" s="52"/>
      <c r="H172" s="52"/>
      <c r="I172" s="52"/>
    </row>
    <row r="173">
      <c r="A173" s="33"/>
      <c r="F173" s="51"/>
      <c r="G173" s="52"/>
      <c r="H173" s="52"/>
      <c r="I173" s="52"/>
    </row>
    <row r="174">
      <c r="A174" s="33"/>
      <c r="F174" s="51"/>
      <c r="G174" s="52"/>
      <c r="H174" s="52"/>
      <c r="I174" s="52"/>
    </row>
    <row r="175">
      <c r="A175" s="33"/>
      <c r="F175" s="51"/>
      <c r="G175" s="52"/>
      <c r="H175" s="52"/>
      <c r="I175" s="52"/>
    </row>
    <row r="176">
      <c r="A176" s="33"/>
      <c r="F176" s="51"/>
      <c r="G176" s="52"/>
      <c r="H176" s="52"/>
      <c r="I176" s="52"/>
    </row>
    <row r="177">
      <c r="A177" s="33"/>
      <c r="F177" s="51"/>
      <c r="G177" s="52"/>
      <c r="H177" s="52"/>
      <c r="I177" s="52"/>
    </row>
    <row r="178">
      <c r="A178" s="33"/>
      <c r="F178" s="51"/>
      <c r="G178" s="52"/>
      <c r="H178" s="52"/>
      <c r="I178" s="52"/>
    </row>
    <row r="179">
      <c r="A179" s="33"/>
      <c r="F179" s="51"/>
      <c r="G179" s="52"/>
      <c r="H179" s="52"/>
      <c r="I179" s="52"/>
    </row>
    <row r="180">
      <c r="A180" s="33"/>
      <c r="F180" s="51"/>
      <c r="G180" s="52"/>
      <c r="H180" s="52"/>
      <c r="I180" s="52"/>
    </row>
    <row r="181">
      <c r="A181" s="33"/>
      <c r="F181" s="51"/>
      <c r="G181" s="52"/>
      <c r="H181" s="52"/>
      <c r="I181" s="52"/>
    </row>
    <row r="182">
      <c r="A182" s="33"/>
      <c r="F182" s="51"/>
      <c r="G182" s="52"/>
      <c r="H182" s="52"/>
      <c r="I182" s="52"/>
    </row>
    <row r="183">
      <c r="A183" s="33"/>
      <c r="F183" s="51"/>
      <c r="G183" s="52"/>
      <c r="H183" s="52"/>
      <c r="I183" s="52"/>
    </row>
    <row r="184">
      <c r="A184" s="33"/>
      <c r="F184" s="51"/>
      <c r="G184" s="52"/>
      <c r="H184" s="52"/>
      <c r="I184" s="52"/>
    </row>
    <row r="185">
      <c r="A185" s="33"/>
      <c r="F185" s="51"/>
      <c r="G185" s="52"/>
      <c r="H185" s="52"/>
      <c r="I185" s="52"/>
    </row>
    <row r="186">
      <c r="A186" s="33"/>
      <c r="F186" s="51"/>
      <c r="G186" s="52"/>
      <c r="H186" s="52"/>
      <c r="I186" s="52"/>
    </row>
    <row r="187">
      <c r="A187" s="33"/>
      <c r="F187" s="51"/>
      <c r="G187" s="52"/>
      <c r="H187" s="52"/>
      <c r="I187" s="52"/>
    </row>
    <row r="188">
      <c r="A188" s="33"/>
      <c r="F188" s="51"/>
      <c r="G188" s="52"/>
      <c r="H188" s="52"/>
      <c r="I188" s="52"/>
    </row>
    <row r="189">
      <c r="A189" s="33"/>
      <c r="F189" s="51"/>
      <c r="G189" s="52"/>
      <c r="H189" s="52"/>
      <c r="I189" s="52"/>
    </row>
    <row r="190">
      <c r="A190" s="33"/>
      <c r="F190" s="51"/>
      <c r="G190" s="52"/>
      <c r="H190" s="52"/>
      <c r="I190" s="52"/>
    </row>
    <row r="191">
      <c r="A191" s="33"/>
      <c r="F191" s="51"/>
      <c r="G191" s="52"/>
      <c r="H191" s="52"/>
      <c r="I191" s="52"/>
    </row>
    <row r="192">
      <c r="A192" s="33"/>
      <c r="F192" s="51"/>
      <c r="G192" s="52"/>
      <c r="H192" s="52"/>
      <c r="I192" s="52"/>
    </row>
    <row r="193">
      <c r="A193" s="33"/>
      <c r="F193" s="51"/>
      <c r="G193" s="52"/>
      <c r="H193" s="52"/>
      <c r="I193" s="52"/>
    </row>
    <row r="194">
      <c r="A194" s="33"/>
      <c r="F194" s="51"/>
      <c r="G194" s="52"/>
      <c r="H194" s="52"/>
      <c r="I194" s="52"/>
    </row>
    <row r="195">
      <c r="A195" s="33"/>
      <c r="F195" s="51"/>
      <c r="G195" s="52"/>
      <c r="H195" s="52"/>
      <c r="I195" s="52"/>
    </row>
    <row r="196">
      <c r="A196" s="33"/>
      <c r="F196" s="51"/>
      <c r="G196" s="52"/>
      <c r="H196" s="52"/>
      <c r="I196" s="52"/>
    </row>
    <row r="197">
      <c r="A197" s="33"/>
      <c r="F197" s="51"/>
      <c r="G197" s="52"/>
      <c r="H197" s="52"/>
      <c r="I197" s="52"/>
    </row>
    <row r="198">
      <c r="A198" s="33"/>
      <c r="F198" s="51"/>
      <c r="G198" s="52"/>
      <c r="H198" s="52"/>
      <c r="I198" s="52"/>
    </row>
    <row r="199">
      <c r="A199" s="33"/>
      <c r="F199" s="51"/>
      <c r="G199" s="52"/>
      <c r="H199" s="52"/>
      <c r="I199" s="52"/>
    </row>
    <row r="200">
      <c r="A200" s="33"/>
      <c r="F200" s="51"/>
      <c r="G200" s="52"/>
      <c r="H200" s="52"/>
      <c r="I200" s="52"/>
    </row>
    <row r="201">
      <c r="A201" s="33"/>
      <c r="F201" s="51"/>
      <c r="G201" s="52"/>
      <c r="H201" s="52"/>
      <c r="I201" s="52"/>
    </row>
    <row r="202">
      <c r="A202" s="33"/>
      <c r="F202" s="51"/>
      <c r="G202" s="52"/>
      <c r="H202" s="52"/>
      <c r="I202" s="52"/>
    </row>
    <row r="203">
      <c r="A203" s="33"/>
      <c r="F203" s="51"/>
      <c r="G203" s="52"/>
      <c r="H203" s="52"/>
      <c r="I203" s="52"/>
    </row>
    <row r="204">
      <c r="A204" s="33"/>
      <c r="F204" s="51"/>
      <c r="G204" s="52"/>
      <c r="H204" s="52"/>
      <c r="I204" s="52"/>
    </row>
    <row r="205">
      <c r="A205" s="33"/>
      <c r="F205" s="51"/>
      <c r="G205" s="52"/>
      <c r="H205" s="52"/>
      <c r="I205" s="52"/>
    </row>
    <row r="206">
      <c r="A206" s="33"/>
      <c r="F206" s="51"/>
      <c r="G206" s="52"/>
      <c r="H206" s="52"/>
      <c r="I206" s="52"/>
    </row>
    <row r="207">
      <c r="A207" s="33"/>
      <c r="F207" s="51"/>
      <c r="G207" s="52"/>
      <c r="H207" s="52"/>
      <c r="I207" s="52"/>
    </row>
    <row r="208">
      <c r="A208" s="33"/>
      <c r="F208" s="51"/>
      <c r="G208" s="52"/>
      <c r="H208" s="52"/>
      <c r="I208" s="52"/>
    </row>
    <row r="209">
      <c r="A209" s="33"/>
      <c r="F209" s="51"/>
      <c r="G209" s="52"/>
      <c r="H209" s="52"/>
      <c r="I209" s="52"/>
    </row>
    <row r="210">
      <c r="A210" s="33"/>
      <c r="F210" s="51"/>
      <c r="G210" s="52"/>
      <c r="H210" s="52"/>
      <c r="I210" s="52"/>
    </row>
    <row r="211">
      <c r="A211" s="33"/>
      <c r="F211" s="51"/>
      <c r="G211" s="52"/>
      <c r="H211" s="52"/>
      <c r="I211" s="52"/>
    </row>
    <row r="212">
      <c r="A212" s="33"/>
      <c r="F212" s="51"/>
      <c r="G212" s="52"/>
      <c r="H212" s="52"/>
      <c r="I212" s="52"/>
    </row>
    <row r="213">
      <c r="A213" s="33"/>
      <c r="F213" s="51"/>
      <c r="G213" s="52"/>
      <c r="H213" s="52"/>
      <c r="I213" s="52"/>
    </row>
    <row r="214">
      <c r="A214" s="33"/>
      <c r="F214" s="51"/>
      <c r="G214" s="52"/>
      <c r="H214" s="52"/>
      <c r="I214" s="52"/>
    </row>
    <row r="215">
      <c r="A215" s="33"/>
      <c r="F215" s="51"/>
      <c r="G215" s="52"/>
      <c r="H215" s="52"/>
      <c r="I215" s="52"/>
    </row>
    <row r="216">
      <c r="A216" s="33"/>
      <c r="F216" s="51"/>
      <c r="G216" s="52"/>
      <c r="H216" s="52"/>
      <c r="I216" s="52"/>
    </row>
    <row r="217">
      <c r="A217" s="33"/>
      <c r="F217" s="51"/>
      <c r="G217" s="52"/>
      <c r="H217" s="52"/>
      <c r="I217" s="52"/>
    </row>
    <row r="218">
      <c r="A218" s="33"/>
      <c r="F218" s="51"/>
      <c r="G218" s="52"/>
      <c r="H218" s="52"/>
      <c r="I218" s="52"/>
    </row>
    <row r="219">
      <c r="A219" s="33"/>
      <c r="F219" s="51"/>
      <c r="G219" s="52"/>
      <c r="H219" s="52"/>
      <c r="I219" s="52"/>
    </row>
    <row r="220">
      <c r="A220" s="33"/>
      <c r="F220" s="51"/>
      <c r="G220" s="52"/>
      <c r="H220" s="52"/>
      <c r="I220" s="52"/>
    </row>
    <row r="221">
      <c r="A221" s="33"/>
      <c r="F221" s="51"/>
      <c r="G221" s="52"/>
      <c r="H221" s="52"/>
      <c r="I221" s="52"/>
    </row>
    <row r="222">
      <c r="A222" s="33"/>
      <c r="F222" s="51"/>
      <c r="G222" s="52"/>
      <c r="H222" s="52"/>
      <c r="I222" s="52"/>
    </row>
    <row r="223">
      <c r="A223" s="33"/>
      <c r="F223" s="51"/>
      <c r="G223" s="52"/>
      <c r="H223" s="52"/>
      <c r="I223" s="52"/>
    </row>
    <row r="224">
      <c r="A224" s="33"/>
      <c r="F224" s="51"/>
      <c r="G224" s="52"/>
      <c r="H224" s="52"/>
      <c r="I224" s="52"/>
    </row>
    <row r="225">
      <c r="A225" s="33"/>
      <c r="F225" s="51"/>
      <c r="G225" s="52"/>
      <c r="H225" s="52"/>
      <c r="I225" s="52"/>
    </row>
    <row r="226">
      <c r="A226" s="33"/>
      <c r="F226" s="51"/>
      <c r="G226" s="52"/>
      <c r="H226" s="52"/>
      <c r="I226" s="52"/>
    </row>
    <row r="227">
      <c r="A227" s="33"/>
      <c r="F227" s="51"/>
      <c r="G227" s="52"/>
      <c r="H227" s="52"/>
      <c r="I227" s="52"/>
    </row>
    <row r="228">
      <c r="A228" s="33"/>
      <c r="F228" s="51"/>
      <c r="G228" s="52"/>
      <c r="H228" s="52"/>
      <c r="I228" s="52"/>
    </row>
    <row r="229">
      <c r="A229" s="33"/>
      <c r="F229" s="51"/>
      <c r="G229" s="52"/>
      <c r="H229" s="52"/>
      <c r="I229" s="52"/>
    </row>
    <row r="230">
      <c r="A230" s="33"/>
      <c r="F230" s="51"/>
      <c r="G230" s="52"/>
      <c r="H230" s="52"/>
      <c r="I230" s="52"/>
    </row>
    <row r="231">
      <c r="A231" s="33"/>
      <c r="F231" s="51"/>
      <c r="G231" s="52"/>
      <c r="H231" s="52"/>
      <c r="I231" s="52"/>
    </row>
    <row r="232">
      <c r="A232" s="33"/>
      <c r="F232" s="51"/>
      <c r="G232" s="52"/>
      <c r="H232" s="52"/>
      <c r="I232" s="52"/>
    </row>
    <row r="233">
      <c r="A233" s="33"/>
      <c r="F233" s="51"/>
      <c r="G233" s="52"/>
      <c r="H233" s="52"/>
      <c r="I233" s="52"/>
    </row>
    <row r="234">
      <c r="A234" s="33"/>
      <c r="F234" s="51"/>
      <c r="G234" s="52"/>
      <c r="H234" s="52"/>
      <c r="I234" s="52"/>
    </row>
    <row r="235">
      <c r="A235" s="33"/>
      <c r="F235" s="51"/>
      <c r="G235" s="52"/>
      <c r="H235" s="52"/>
      <c r="I235" s="52"/>
    </row>
    <row r="236">
      <c r="A236" s="33"/>
      <c r="F236" s="51"/>
      <c r="G236" s="52"/>
      <c r="H236" s="52"/>
      <c r="I236" s="52"/>
    </row>
    <row r="237">
      <c r="A237" s="33"/>
      <c r="F237" s="51"/>
      <c r="G237" s="52"/>
      <c r="H237" s="52"/>
      <c r="I237" s="52"/>
    </row>
    <row r="238">
      <c r="A238" s="33"/>
      <c r="F238" s="51"/>
      <c r="G238" s="52"/>
      <c r="H238" s="52"/>
      <c r="I238" s="52"/>
    </row>
    <row r="239">
      <c r="A239" s="33"/>
      <c r="F239" s="51"/>
      <c r="G239" s="52"/>
      <c r="H239" s="52"/>
      <c r="I239" s="52"/>
    </row>
    <row r="240">
      <c r="A240" s="33"/>
      <c r="F240" s="51"/>
      <c r="G240" s="52"/>
      <c r="H240" s="52"/>
      <c r="I240" s="52"/>
    </row>
    <row r="241">
      <c r="A241" s="33"/>
      <c r="F241" s="51"/>
      <c r="G241" s="52"/>
      <c r="H241" s="52"/>
      <c r="I241" s="52"/>
    </row>
    <row r="242">
      <c r="A242" s="33"/>
      <c r="F242" s="51"/>
      <c r="G242" s="52"/>
      <c r="H242" s="52"/>
      <c r="I242" s="52"/>
    </row>
    <row r="243">
      <c r="A243" s="33"/>
      <c r="F243" s="51"/>
      <c r="G243" s="52"/>
      <c r="H243" s="52"/>
      <c r="I243" s="52"/>
    </row>
    <row r="244">
      <c r="A244" s="33"/>
      <c r="F244" s="51"/>
      <c r="G244" s="52"/>
      <c r="H244" s="52"/>
      <c r="I244" s="52"/>
    </row>
    <row r="245">
      <c r="A245" s="33"/>
      <c r="F245" s="51"/>
      <c r="G245" s="52"/>
      <c r="H245" s="52"/>
      <c r="I245" s="52"/>
    </row>
    <row r="246">
      <c r="A246" s="33"/>
      <c r="F246" s="51"/>
      <c r="G246" s="52"/>
      <c r="H246" s="52"/>
      <c r="I246" s="52"/>
    </row>
    <row r="247">
      <c r="A247" s="33"/>
      <c r="F247" s="51"/>
      <c r="G247" s="52"/>
      <c r="H247" s="52"/>
      <c r="I247" s="52"/>
    </row>
    <row r="248">
      <c r="A248" s="33"/>
      <c r="F248" s="51"/>
      <c r="G248" s="52"/>
      <c r="H248" s="52"/>
      <c r="I248" s="52"/>
    </row>
    <row r="249">
      <c r="A249" s="33"/>
      <c r="F249" s="51"/>
      <c r="G249" s="52"/>
      <c r="H249" s="52"/>
      <c r="I249" s="52"/>
    </row>
    <row r="250">
      <c r="A250" s="33"/>
      <c r="F250" s="51"/>
      <c r="G250" s="52"/>
      <c r="H250" s="52"/>
      <c r="I250" s="52"/>
    </row>
    <row r="251">
      <c r="A251" s="33"/>
      <c r="F251" s="51"/>
      <c r="G251" s="52"/>
      <c r="H251" s="52"/>
      <c r="I251" s="52"/>
    </row>
    <row r="252">
      <c r="A252" s="33"/>
      <c r="F252" s="51"/>
      <c r="G252" s="52"/>
      <c r="H252" s="52"/>
      <c r="I252" s="52"/>
    </row>
    <row r="253">
      <c r="A253" s="33"/>
      <c r="F253" s="51"/>
      <c r="G253" s="52"/>
      <c r="H253" s="52"/>
      <c r="I253" s="52"/>
    </row>
    <row r="254">
      <c r="A254" s="33"/>
      <c r="F254" s="51"/>
      <c r="G254" s="52"/>
      <c r="H254" s="52"/>
      <c r="I254" s="52"/>
    </row>
    <row r="255">
      <c r="A255" s="33"/>
      <c r="F255" s="51"/>
      <c r="G255" s="52"/>
      <c r="H255" s="52"/>
      <c r="I255" s="52"/>
    </row>
    <row r="256">
      <c r="A256" s="33"/>
      <c r="F256" s="51"/>
      <c r="G256" s="52"/>
      <c r="H256" s="52"/>
      <c r="I256" s="52"/>
    </row>
    <row r="257">
      <c r="A257" s="33"/>
      <c r="F257" s="51"/>
      <c r="G257" s="52"/>
      <c r="H257" s="52"/>
      <c r="I257" s="52"/>
    </row>
    <row r="258">
      <c r="A258" s="33"/>
      <c r="F258" s="51"/>
      <c r="G258" s="52"/>
      <c r="H258" s="52"/>
      <c r="I258" s="52"/>
    </row>
    <row r="259">
      <c r="A259" s="33"/>
      <c r="F259" s="51"/>
      <c r="G259" s="52"/>
      <c r="H259" s="52"/>
      <c r="I259" s="52"/>
    </row>
    <row r="260">
      <c r="A260" s="33"/>
      <c r="F260" s="51"/>
      <c r="G260" s="52"/>
      <c r="H260" s="52"/>
      <c r="I260" s="52"/>
    </row>
    <row r="261">
      <c r="A261" s="33"/>
      <c r="F261" s="51"/>
      <c r="G261" s="52"/>
      <c r="H261" s="52"/>
      <c r="I261" s="52"/>
    </row>
    <row r="262">
      <c r="A262" s="33"/>
      <c r="F262" s="51"/>
      <c r="G262" s="52"/>
      <c r="H262" s="52"/>
      <c r="I262" s="52"/>
    </row>
    <row r="263">
      <c r="A263" s="33"/>
      <c r="F263" s="51"/>
      <c r="G263" s="52"/>
      <c r="H263" s="52"/>
      <c r="I263" s="52"/>
    </row>
    <row r="264">
      <c r="A264" s="33"/>
      <c r="F264" s="51"/>
      <c r="G264" s="52"/>
      <c r="H264" s="52"/>
      <c r="I264" s="52"/>
    </row>
    <row r="265">
      <c r="A265" s="33"/>
      <c r="F265" s="51"/>
      <c r="G265" s="52"/>
      <c r="H265" s="52"/>
      <c r="I265" s="52"/>
    </row>
    <row r="266">
      <c r="A266" s="33"/>
      <c r="F266" s="51"/>
      <c r="G266" s="52"/>
      <c r="H266" s="52"/>
      <c r="I266" s="52"/>
    </row>
    <row r="267">
      <c r="A267" s="33"/>
      <c r="F267" s="51"/>
      <c r="G267" s="52"/>
      <c r="H267" s="52"/>
      <c r="I267" s="52"/>
    </row>
    <row r="268">
      <c r="A268" s="33"/>
      <c r="F268" s="51"/>
      <c r="G268" s="52"/>
      <c r="H268" s="52"/>
      <c r="I268" s="52"/>
    </row>
    <row r="269">
      <c r="A269" s="33"/>
      <c r="F269" s="51"/>
      <c r="G269" s="52"/>
      <c r="H269" s="52"/>
      <c r="I269" s="52"/>
    </row>
    <row r="270">
      <c r="A270" s="33"/>
      <c r="F270" s="51"/>
      <c r="G270" s="52"/>
      <c r="H270" s="52"/>
      <c r="I270" s="52"/>
    </row>
    <row r="271">
      <c r="A271" s="33"/>
      <c r="F271" s="51"/>
      <c r="G271" s="52"/>
      <c r="H271" s="52"/>
      <c r="I271" s="52"/>
    </row>
    <row r="272">
      <c r="A272" s="33"/>
      <c r="F272" s="51"/>
      <c r="G272" s="52"/>
      <c r="H272" s="52"/>
      <c r="I272" s="52"/>
    </row>
    <row r="273">
      <c r="A273" s="33"/>
      <c r="F273" s="51"/>
      <c r="G273" s="52"/>
      <c r="H273" s="52"/>
      <c r="I273" s="52"/>
    </row>
    <row r="274">
      <c r="A274" s="33"/>
      <c r="F274" s="51"/>
      <c r="G274" s="52"/>
      <c r="H274" s="52"/>
      <c r="I274" s="52"/>
    </row>
    <row r="275">
      <c r="A275" s="33"/>
      <c r="F275" s="51"/>
      <c r="G275" s="52"/>
      <c r="H275" s="52"/>
      <c r="I275" s="52"/>
    </row>
    <row r="276">
      <c r="A276" s="33"/>
      <c r="F276" s="51"/>
      <c r="G276" s="52"/>
      <c r="H276" s="52"/>
      <c r="I276" s="52"/>
    </row>
    <row r="277">
      <c r="A277" s="33"/>
      <c r="F277" s="51"/>
      <c r="G277" s="52"/>
      <c r="H277" s="52"/>
      <c r="I277" s="52"/>
    </row>
    <row r="278">
      <c r="A278" s="33"/>
      <c r="F278" s="51"/>
      <c r="G278" s="52"/>
      <c r="H278" s="52"/>
      <c r="I278" s="52"/>
    </row>
    <row r="279">
      <c r="A279" s="33"/>
      <c r="F279" s="51"/>
      <c r="G279" s="52"/>
      <c r="H279" s="52"/>
      <c r="I279" s="52"/>
    </row>
    <row r="280">
      <c r="A280" s="33"/>
      <c r="F280" s="51"/>
      <c r="G280" s="52"/>
      <c r="H280" s="52"/>
      <c r="I280" s="52"/>
    </row>
    <row r="281">
      <c r="A281" s="33"/>
      <c r="F281" s="51"/>
      <c r="G281" s="52"/>
      <c r="H281" s="52"/>
      <c r="I281" s="52"/>
    </row>
    <row r="282">
      <c r="A282" s="33"/>
      <c r="F282" s="51"/>
      <c r="G282" s="52"/>
      <c r="H282" s="52"/>
      <c r="I282" s="52"/>
    </row>
    <row r="283">
      <c r="A283" s="33"/>
      <c r="F283" s="51"/>
      <c r="G283" s="52"/>
      <c r="H283" s="52"/>
      <c r="I283" s="52"/>
    </row>
    <row r="284">
      <c r="A284" s="33"/>
      <c r="F284" s="51"/>
      <c r="G284" s="52"/>
      <c r="H284" s="52"/>
      <c r="I284" s="52"/>
    </row>
    <row r="285">
      <c r="A285" s="33"/>
      <c r="F285" s="51"/>
      <c r="G285" s="52"/>
      <c r="H285" s="52"/>
      <c r="I285" s="52"/>
    </row>
    <row r="286">
      <c r="A286" s="33"/>
      <c r="F286" s="51"/>
      <c r="G286" s="52"/>
      <c r="H286" s="52"/>
      <c r="I286" s="52"/>
    </row>
    <row r="287">
      <c r="A287" s="33"/>
      <c r="F287" s="51"/>
      <c r="G287" s="52"/>
      <c r="H287" s="52"/>
      <c r="I287" s="52"/>
    </row>
    <row r="288">
      <c r="A288" s="33"/>
      <c r="F288" s="51"/>
      <c r="G288" s="52"/>
      <c r="H288" s="52"/>
      <c r="I288" s="52"/>
    </row>
    <row r="289">
      <c r="A289" s="33"/>
      <c r="F289" s="51"/>
      <c r="G289" s="52"/>
      <c r="H289" s="52"/>
      <c r="I289" s="52"/>
    </row>
    <row r="290">
      <c r="A290" s="33"/>
      <c r="F290" s="51"/>
      <c r="G290" s="52"/>
      <c r="H290" s="52"/>
      <c r="I290" s="52"/>
    </row>
    <row r="291">
      <c r="A291" s="33"/>
      <c r="F291" s="51"/>
      <c r="G291" s="52"/>
      <c r="H291" s="52"/>
      <c r="I291" s="52"/>
    </row>
    <row r="292">
      <c r="A292" s="33"/>
      <c r="F292" s="51"/>
      <c r="G292" s="52"/>
      <c r="H292" s="52"/>
      <c r="I292" s="52"/>
    </row>
    <row r="293">
      <c r="A293" s="33"/>
      <c r="F293" s="51"/>
      <c r="G293" s="52"/>
      <c r="H293" s="52"/>
      <c r="I293" s="52"/>
    </row>
    <row r="294">
      <c r="A294" s="33"/>
      <c r="F294" s="51"/>
      <c r="G294" s="52"/>
      <c r="H294" s="52"/>
      <c r="I294" s="52"/>
    </row>
    <row r="295">
      <c r="A295" s="33"/>
      <c r="F295" s="51"/>
      <c r="G295" s="52"/>
      <c r="H295" s="52"/>
      <c r="I295" s="52"/>
    </row>
    <row r="296">
      <c r="A296" s="33"/>
      <c r="F296" s="51"/>
      <c r="G296" s="52"/>
      <c r="H296" s="52"/>
      <c r="I296" s="52"/>
    </row>
    <row r="297">
      <c r="A297" s="33"/>
      <c r="F297" s="51"/>
      <c r="G297" s="52"/>
      <c r="H297" s="52"/>
      <c r="I297" s="52"/>
    </row>
    <row r="298">
      <c r="A298" s="33"/>
      <c r="F298" s="51"/>
      <c r="G298" s="52"/>
      <c r="H298" s="52"/>
      <c r="I298" s="52"/>
    </row>
    <row r="299">
      <c r="A299" s="33"/>
      <c r="F299" s="51"/>
      <c r="G299" s="52"/>
      <c r="H299" s="52"/>
      <c r="I299" s="52"/>
    </row>
    <row r="300">
      <c r="A300" s="33"/>
      <c r="F300" s="51"/>
      <c r="G300" s="52"/>
      <c r="H300" s="52"/>
      <c r="I300" s="52"/>
    </row>
    <row r="301">
      <c r="A301" s="33"/>
      <c r="F301" s="51"/>
      <c r="G301" s="52"/>
      <c r="H301" s="52"/>
      <c r="I301" s="52"/>
    </row>
    <row r="302">
      <c r="A302" s="33"/>
      <c r="F302" s="51"/>
      <c r="G302" s="52"/>
      <c r="H302" s="52"/>
      <c r="I302" s="52"/>
    </row>
    <row r="303">
      <c r="A303" s="33"/>
      <c r="F303" s="51"/>
      <c r="G303" s="52"/>
      <c r="H303" s="52"/>
      <c r="I303" s="52"/>
    </row>
    <row r="304">
      <c r="A304" s="33"/>
      <c r="F304" s="51"/>
      <c r="G304" s="52"/>
      <c r="H304" s="52"/>
      <c r="I304" s="52"/>
    </row>
    <row r="305">
      <c r="A305" s="33"/>
      <c r="F305" s="51"/>
      <c r="G305" s="52"/>
      <c r="H305" s="52"/>
      <c r="I305" s="52"/>
    </row>
    <row r="306">
      <c r="A306" s="33"/>
      <c r="F306" s="51"/>
      <c r="G306" s="52"/>
      <c r="H306" s="52"/>
      <c r="I306" s="52"/>
    </row>
    <row r="307">
      <c r="A307" s="33"/>
      <c r="F307" s="51"/>
      <c r="G307" s="52"/>
      <c r="H307" s="52"/>
      <c r="I307" s="52"/>
    </row>
    <row r="308">
      <c r="A308" s="33"/>
      <c r="F308" s="51"/>
      <c r="G308" s="52"/>
      <c r="H308" s="52"/>
      <c r="I308" s="52"/>
    </row>
    <row r="309">
      <c r="A309" s="33"/>
      <c r="F309" s="51"/>
      <c r="G309" s="52"/>
      <c r="H309" s="52"/>
      <c r="I309" s="52"/>
    </row>
    <row r="310">
      <c r="A310" s="33"/>
      <c r="F310" s="51"/>
      <c r="G310" s="52"/>
      <c r="H310" s="52"/>
      <c r="I310" s="52"/>
    </row>
    <row r="311">
      <c r="A311" s="33"/>
      <c r="F311" s="51"/>
      <c r="G311" s="52"/>
      <c r="H311" s="52"/>
      <c r="I311" s="52"/>
    </row>
    <row r="312">
      <c r="A312" s="33"/>
      <c r="F312" s="51"/>
      <c r="G312" s="52"/>
      <c r="H312" s="52"/>
      <c r="I312" s="52"/>
    </row>
    <row r="313">
      <c r="A313" s="33"/>
      <c r="F313" s="51"/>
      <c r="G313" s="52"/>
      <c r="H313" s="52"/>
      <c r="I313" s="52"/>
    </row>
    <row r="314">
      <c r="A314" s="33"/>
      <c r="F314" s="51"/>
      <c r="G314" s="52"/>
      <c r="H314" s="52"/>
      <c r="I314" s="52"/>
    </row>
    <row r="315">
      <c r="A315" s="33"/>
      <c r="F315" s="51"/>
      <c r="G315" s="52"/>
      <c r="H315" s="52"/>
      <c r="I315" s="52"/>
    </row>
    <row r="316">
      <c r="A316" s="33"/>
      <c r="F316" s="51"/>
      <c r="G316" s="52"/>
      <c r="H316" s="52"/>
      <c r="I316" s="52"/>
    </row>
    <row r="317">
      <c r="A317" s="33"/>
      <c r="F317" s="51"/>
      <c r="G317" s="52"/>
      <c r="H317" s="52"/>
      <c r="I317" s="52"/>
    </row>
    <row r="318">
      <c r="A318" s="33"/>
      <c r="F318" s="51"/>
      <c r="G318" s="52"/>
      <c r="H318" s="52"/>
      <c r="I318" s="52"/>
    </row>
    <row r="319">
      <c r="A319" s="33"/>
      <c r="F319" s="51"/>
      <c r="G319" s="52"/>
      <c r="H319" s="52"/>
      <c r="I319" s="52"/>
    </row>
    <row r="320">
      <c r="A320" s="33"/>
      <c r="F320" s="51"/>
      <c r="G320" s="52"/>
      <c r="H320" s="52"/>
      <c r="I320" s="52"/>
    </row>
    <row r="321">
      <c r="A321" s="33"/>
      <c r="F321" s="51"/>
      <c r="G321" s="52"/>
      <c r="H321" s="52"/>
      <c r="I321" s="52"/>
    </row>
    <row r="322">
      <c r="A322" s="33"/>
      <c r="F322" s="51"/>
      <c r="G322" s="52"/>
      <c r="H322" s="52"/>
      <c r="I322" s="52"/>
    </row>
    <row r="323">
      <c r="A323" s="33"/>
      <c r="F323" s="51"/>
      <c r="G323" s="52"/>
      <c r="H323" s="52"/>
      <c r="I323" s="52"/>
    </row>
    <row r="324">
      <c r="A324" s="33"/>
      <c r="F324" s="51"/>
      <c r="G324" s="52"/>
      <c r="H324" s="52"/>
      <c r="I324" s="52"/>
    </row>
    <row r="325">
      <c r="A325" s="33"/>
      <c r="F325" s="51"/>
      <c r="G325" s="52"/>
      <c r="H325" s="52"/>
      <c r="I325" s="52"/>
    </row>
    <row r="326">
      <c r="A326" s="33"/>
      <c r="F326" s="51"/>
      <c r="G326" s="52"/>
      <c r="H326" s="52"/>
      <c r="I326" s="52"/>
    </row>
    <row r="327">
      <c r="A327" s="33"/>
      <c r="F327" s="51"/>
      <c r="G327" s="52"/>
      <c r="H327" s="52"/>
      <c r="I327" s="52"/>
    </row>
    <row r="328">
      <c r="A328" s="33"/>
      <c r="F328" s="51"/>
      <c r="G328" s="52"/>
      <c r="H328" s="52"/>
      <c r="I328" s="52"/>
    </row>
    <row r="329">
      <c r="A329" s="33"/>
      <c r="F329" s="51"/>
      <c r="G329" s="52"/>
      <c r="H329" s="52"/>
      <c r="I329" s="52"/>
    </row>
    <row r="330">
      <c r="A330" s="33"/>
      <c r="F330" s="51"/>
      <c r="G330" s="52"/>
      <c r="H330" s="52"/>
      <c r="I330" s="52"/>
    </row>
    <row r="331">
      <c r="A331" s="33"/>
      <c r="F331" s="51"/>
      <c r="G331" s="52"/>
      <c r="H331" s="52"/>
      <c r="I331" s="52"/>
    </row>
    <row r="332">
      <c r="A332" s="33"/>
      <c r="F332" s="51"/>
      <c r="G332" s="52"/>
      <c r="H332" s="52"/>
      <c r="I332" s="52"/>
    </row>
    <row r="333">
      <c r="A333" s="33"/>
      <c r="F333" s="51"/>
      <c r="G333" s="52"/>
      <c r="H333" s="52"/>
      <c r="I333" s="52"/>
    </row>
    <row r="334">
      <c r="A334" s="33"/>
      <c r="F334" s="51"/>
      <c r="G334" s="52"/>
      <c r="H334" s="52"/>
      <c r="I334" s="52"/>
    </row>
    <row r="335">
      <c r="A335" s="33"/>
      <c r="F335" s="51"/>
      <c r="G335" s="52"/>
      <c r="H335" s="52"/>
      <c r="I335" s="52"/>
    </row>
    <row r="336">
      <c r="A336" s="33"/>
      <c r="F336" s="51"/>
      <c r="G336" s="52"/>
      <c r="H336" s="52"/>
      <c r="I336" s="52"/>
    </row>
    <row r="337">
      <c r="A337" s="33"/>
      <c r="F337" s="51"/>
      <c r="G337" s="52"/>
      <c r="H337" s="52"/>
      <c r="I337" s="52"/>
    </row>
    <row r="338">
      <c r="A338" s="33"/>
      <c r="F338" s="51"/>
      <c r="G338" s="52"/>
      <c r="H338" s="52"/>
      <c r="I338" s="52"/>
    </row>
    <row r="339">
      <c r="A339" s="33"/>
      <c r="F339" s="51"/>
      <c r="G339" s="52"/>
      <c r="H339" s="52"/>
      <c r="I339" s="52"/>
    </row>
    <row r="340">
      <c r="A340" s="33"/>
      <c r="F340" s="51"/>
      <c r="G340" s="52"/>
      <c r="H340" s="52"/>
      <c r="I340" s="52"/>
    </row>
    <row r="341">
      <c r="A341" s="33"/>
      <c r="F341" s="51"/>
      <c r="G341" s="52"/>
      <c r="H341" s="52"/>
      <c r="I341" s="52"/>
    </row>
    <row r="342">
      <c r="A342" s="33"/>
      <c r="F342" s="51"/>
      <c r="G342" s="52"/>
      <c r="H342" s="52"/>
      <c r="I342" s="52"/>
    </row>
    <row r="343">
      <c r="A343" s="33"/>
      <c r="F343" s="51"/>
      <c r="G343" s="52"/>
      <c r="H343" s="52"/>
      <c r="I343" s="52"/>
    </row>
    <row r="344">
      <c r="A344" s="33"/>
      <c r="F344" s="51"/>
      <c r="G344" s="52"/>
      <c r="H344" s="52"/>
      <c r="I344" s="52"/>
    </row>
    <row r="345">
      <c r="A345" s="33"/>
      <c r="F345" s="51"/>
      <c r="G345" s="52"/>
      <c r="H345" s="52"/>
      <c r="I345" s="52"/>
    </row>
    <row r="346">
      <c r="A346" s="33"/>
      <c r="F346" s="51"/>
      <c r="G346" s="52"/>
      <c r="H346" s="52"/>
      <c r="I346" s="52"/>
    </row>
    <row r="347">
      <c r="A347" s="33"/>
      <c r="F347" s="51"/>
      <c r="G347" s="52"/>
      <c r="H347" s="52"/>
      <c r="I347" s="52"/>
    </row>
    <row r="348">
      <c r="A348" s="33"/>
      <c r="F348" s="51"/>
      <c r="G348" s="52"/>
      <c r="H348" s="52"/>
      <c r="I348" s="52"/>
    </row>
    <row r="349">
      <c r="A349" s="33"/>
      <c r="F349" s="51"/>
      <c r="G349" s="52"/>
      <c r="H349" s="52"/>
      <c r="I349" s="52"/>
    </row>
    <row r="350">
      <c r="A350" s="33"/>
      <c r="F350" s="51"/>
      <c r="G350" s="52"/>
      <c r="H350" s="52"/>
      <c r="I350" s="52"/>
    </row>
    <row r="351">
      <c r="A351" s="33"/>
      <c r="F351" s="51"/>
      <c r="G351" s="52"/>
      <c r="H351" s="52"/>
      <c r="I351" s="52"/>
    </row>
    <row r="352">
      <c r="A352" s="33"/>
      <c r="F352" s="51"/>
      <c r="G352" s="52"/>
      <c r="H352" s="52"/>
      <c r="I352" s="52"/>
    </row>
    <row r="353">
      <c r="A353" s="33"/>
      <c r="F353" s="51"/>
      <c r="G353" s="52"/>
      <c r="H353" s="52"/>
      <c r="I353" s="52"/>
    </row>
    <row r="354">
      <c r="A354" s="33"/>
      <c r="F354" s="51"/>
      <c r="G354" s="52"/>
      <c r="H354" s="52"/>
      <c r="I354" s="52"/>
    </row>
    <row r="355">
      <c r="A355" s="33"/>
      <c r="F355" s="51"/>
      <c r="G355" s="52"/>
      <c r="H355" s="52"/>
      <c r="I355" s="52"/>
    </row>
    <row r="356">
      <c r="A356" s="33"/>
      <c r="F356" s="51"/>
      <c r="G356" s="52"/>
      <c r="H356" s="52"/>
      <c r="I356" s="52"/>
    </row>
    <row r="357">
      <c r="A357" s="33"/>
      <c r="F357" s="51"/>
      <c r="G357" s="52"/>
      <c r="H357" s="52"/>
      <c r="I357" s="52"/>
    </row>
    <row r="358">
      <c r="A358" s="33"/>
      <c r="F358" s="51"/>
      <c r="G358" s="52"/>
      <c r="H358" s="52"/>
      <c r="I358" s="52"/>
    </row>
    <row r="359">
      <c r="A359" s="33"/>
      <c r="F359" s="51"/>
      <c r="G359" s="52"/>
      <c r="H359" s="52"/>
      <c r="I359" s="52"/>
    </row>
    <row r="360">
      <c r="A360" s="33"/>
      <c r="F360" s="51"/>
      <c r="G360" s="52"/>
      <c r="H360" s="52"/>
      <c r="I360" s="52"/>
    </row>
    <row r="361">
      <c r="A361" s="33"/>
      <c r="F361" s="51"/>
      <c r="G361" s="52"/>
      <c r="H361" s="52"/>
      <c r="I361" s="52"/>
    </row>
    <row r="362">
      <c r="A362" s="33"/>
      <c r="F362" s="51"/>
      <c r="G362" s="52"/>
      <c r="H362" s="52"/>
      <c r="I362" s="52"/>
    </row>
    <row r="363">
      <c r="A363" s="33"/>
      <c r="F363" s="51"/>
      <c r="G363" s="52"/>
      <c r="H363" s="52"/>
      <c r="I363" s="52"/>
    </row>
    <row r="364">
      <c r="A364" s="33"/>
      <c r="F364" s="51"/>
      <c r="G364" s="52"/>
      <c r="H364" s="52"/>
      <c r="I364" s="52"/>
    </row>
    <row r="365">
      <c r="A365" s="33"/>
      <c r="F365" s="51"/>
      <c r="G365" s="52"/>
      <c r="H365" s="52"/>
      <c r="I365" s="52"/>
    </row>
    <row r="366">
      <c r="A366" s="33"/>
      <c r="F366" s="51"/>
      <c r="G366" s="52"/>
      <c r="H366" s="52"/>
      <c r="I366" s="52"/>
    </row>
    <row r="367">
      <c r="A367" s="33"/>
      <c r="F367" s="51"/>
      <c r="G367" s="52"/>
      <c r="H367" s="52"/>
      <c r="I367" s="52"/>
    </row>
    <row r="368">
      <c r="A368" s="33"/>
      <c r="F368" s="51"/>
      <c r="G368" s="52"/>
      <c r="H368" s="52"/>
      <c r="I368" s="52"/>
    </row>
    <row r="369">
      <c r="A369" s="33"/>
      <c r="F369" s="51"/>
      <c r="G369" s="52"/>
      <c r="H369" s="52"/>
      <c r="I369" s="52"/>
    </row>
    <row r="370">
      <c r="A370" s="33"/>
      <c r="F370" s="51"/>
      <c r="G370" s="52"/>
      <c r="H370" s="52"/>
      <c r="I370" s="52"/>
    </row>
    <row r="371">
      <c r="A371" s="33"/>
      <c r="F371" s="51"/>
      <c r="G371" s="52"/>
      <c r="H371" s="52"/>
      <c r="I371" s="52"/>
    </row>
    <row r="372">
      <c r="A372" s="33"/>
      <c r="F372" s="51"/>
      <c r="G372" s="52"/>
      <c r="H372" s="52"/>
      <c r="I372" s="52"/>
    </row>
    <row r="373">
      <c r="A373" s="33"/>
      <c r="F373" s="51"/>
      <c r="G373" s="52"/>
      <c r="H373" s="52"/>
      <c r="I373" s="52"/>
    </row>
    <row r="374">
      <c r="A374" s="33"/>
      <c r="F374" s="51"/>
      <c r="G374" s="52"/>
      <c r="H374" s="52"/>
      <c r="I374" s="52"/>
    </row>
    <row r="375">
      <c r="A375" s="33"/>
      <c r="F375" s="51"/>
      <c r="G375" s="52"/>
      <c r="H375" s="52"/>
      <c r="I375" s="52"/>
    </row>
    <row r="376">
      <c r="A376" s="33"/>
      <c r="F376" s="51"/>
      <c r="G376" s="52"/>
      <c r="H376" s="52"/>
      <c r="I376" s="52"/>
    </row>
    <row r="377">
      <c r="A377" s="33"/>
      <c r="F377" s="51"/>
      <c r="G377" s="52"/>
      <c r="H377" s="52"/>
      <c r="I377" s="52"/>
    </row>
    <row r="378">
      <c r="A378" s="33"/>
      <c r="F378" s="51"/>
      <c r="G378" s="52"/>
      <c r="H378" s="52"/>
      <c r="I378" s="52"/>
    </row>
    <row r="379">
      <c r="A379" s="33"/>
      <c r="F379" s="51"/>
      <c r="G379" s="52"/>
      <c r="H379" s="52"/>
      <c r="I379" s="52"/>
    </row>
    <row r="380">
      <c r="A380" s="33"/>
      <c r="F380" s="51"/>
      <c r="G380" s="52"/>
      <c r="H380" s="52"/>
      <c r="I380" s="52"/>
    </row>
    <row r="381">
      <c r="A381" s="33"/>
      <c r="F381" s="51"/>
      <c r="G381" s="52"/>
      <c r="H381" s="52"/>
      <c r="I381" s="52"/>
    </row>
    <row r="382">
      <c r="A382" s="33"/>
      <c r="F382" s="51"/>
      <c r="G382" s="52"/>
      <c r="H382" s="52"/>
      <c r="I382" s="52"/>
    </row>
    <row r="383">
      <c r="A383" s="33"/>
      <c r="F383" s="51"/>
      <c r="G383" s="52"/>
      <c r="H383" s="52"/>
      <c r="I383" s="52"/>
    </row>
    <row r="384">
      <c r="A384" s="33"/>
      <c r="F384" s="51"/>
      <c r="G384" s="52"/>
      <c r="H384" s="52"/>
      <c r="I384" s="52"/>
    </row>
    <row r="385">
      <c r="A385" s="33"/>
      <c r="F385" s="51"/>
      <c r="G385" s="52"/>
      <c r="H385" s="52"/>
      <c r="I385" s="52"/>
    </row>
    <row r="386">
      <c r="A386" s="33"/>
      <c r="F386" s="51"/>
      <c r="G386" s="52"/>
      <c r="H386" s="52"/>
      <c r="I386" s="52"/>
    </row>
    <row r="387">
      <c r="A387" s="33"/>
      <c r="F387" s="51"/>
      <c r="G387" s="52"/>
      <c r="H387" s="52"/>
      <c r="I387" s="52"/>
    </row>
    <row r="388">
      <c r="A388" s="33"/>
      <c r="F388" s="51"/>
      <c r="G388" s="52"/>
      <c r="H388" s="52"/>
      <c r="I388" s="52"/>
    </row>
    <row r="389">
      <c r="A389" s="33"/>
      <c r="F389" s="51"/>
      <c r="G389" s="52"/>
      <c r="H389" s="52"/>
      <c r="I389" s="52"/>
    </row>
    <row r="390">
      <c r="A390" s="33"/>
      <c r="F390" s="51"/>
      <c r="G390" s="52"/>
      <c r="H390" s="52"/>
      <c r="I390" s="52"/>
    </row>
    <row r="391">
      <c r="A391" s="33"/>
      <c r="F391" s="51"/>
      <c r="G391" s="52"/>
      <c r="H391" s="52"/>
      <c r="I391" s="52"/>
    </row>
    <row r="392">
      <c r="A392" s="33"/>
      <c r="F392" s="51"/>
      <c r="G392" s="52"/>
      <c r="H392" s="52"/>
      <c r="I392" s="52"/>
    </row>
    <row r="393">
      <c r="A393" s="33"/>
      <c r="F393" s="51"/>
      <c r="G393" s="52"/>
      <c r="H393" s="52"/>
      <c r="I393" s="52"/>
    </row>
    <row r="394">
      <c r="A394" s="33"/>
      <c r="F394" s="51"/>
      <c r="G394" s="52"/>
      <c r="H394" s="52"/>
      <c r="I394" s="52"/>
    </row>
    <row r="395">
      <c r="A395" s="33"/>
      <c r="F395" s="51"/>
      <c r="G395" s="52"/>
      <c r="H395" s="52"/>
      <c r="I395" s="52"/>
    </row>
    <row r="396">
      <c r="A396" s="33"/>
      <c r="F396" s="51"/>
      <c r="G396" s="52"/>
      <c r="H396" s="52"/>
      <c r="I396" s="52"/>
    </row>
    <row r="397">
      <c r="A397" s="33"/>
      <c r="F397" s="51"/>
      <c r="G397" s="52"/>
      <c r="H397" s="52"/>
      <c r="I397" s="52"/>
    </row>
    <row r="398">
      <c r="A398" s="33"/>
      <c r="F398" s="51"/>
      <c r="G398" s="52"/>
      <c r="H398" s="52"/>
      <c r="I398" s="52"/>
    </row>
    <row r="399">
      <c r="A399" s="33"/>
      <c r="F399" s="51"/>
      <c r="G399" s="52"/>
      <c r="H399" s="52"/>
      <c r="I399" s="52"/>
    </row>
    <row r="400">
      <c r="A400" s="33"/>
      <c r="F400" s="51"/>
      <c r="G400" s="52"/>
      <c r="H400" s="52"/>
      <c r="I400" s="52"/>
    </row>
    <row r="401">
      <c r="A401" s="33"/>
      <c r="F401" s="51"/>
      <c r="G401" s="52"/>
      <c r="H401" s="52"/>
      <c r="I401" s="52"/>
    </row>
    <row r="402">
      <c r="A402" s="33"/>
      <c r="F402" s="51"/>
      <c r="G402" s="52"/>
      <c r="H402" s="52"/>
      <c r="I402" s="52"/>
    </row>
    <row r="403">
      <c r="A403" s="33"/>
      <c r="F403" s="51"/>
      <c r="G403" s="52"/>
      <c r="H403" s="52"/>
      <c r="I403" s="52"/>
    </row>
    <row r="404">
      <c r="A404" s="33"/>
      <c r="F404" s="51"/>
      <c r="G404" s="52"/>
      <c r="H404" s="52"/>
      <c r="I404" s="52"/>
    </row>
    <row r="405">
      <c r="A405" s="33"/>
      <c r="F405" s="51"/>
      <c r="G405" s="52"/>
      <c r="H405" s="52"/>
      <c r="I405" s="52"/>
    </row>
    <row r="406">
      <c r="A406" s="33"/>
      <c r="F406" s="51"/>
      <c r="G406" s="52"/>
      <c r="H406" s="52"/>
      <c r="I406" s="52"/>
    </row>
    <row r="407">
      <c r="A407" s="33"/>
      <c r="F407" s="51"/>
      <c r="G407" s="52"/>
      <c r="H407" s="52"/>
      <c r="I407" s="52"/>
    </row>
    <row r="408">
      <c r="A408" s="33"/>
      <c r="F408" s="51"/>
      <c r="G408" s="52"/>
      <c r="H408" s="52"/>
      <c r="I408" s="52"/>
    </row>
    <row r="409">
      <c r="A409" s="33"/>
      <c r="F409" s="51"/>
      <c r="G409" s="52"/>
      <c r="H409" s="52"/>
      <c r="I409" s="52"/>
    </row>
    <row r="410">
      <c r="A410" s="33"/>
      <c r="F410" s="51"/>
      <c r="G410" s="52"/>
      <c r="H410" s="52"/>
      <c r="I410" s="52"/>
    </row>
    <row r="411">
      <c r="A411" s="33"/>
      <c r="F411" s="51"/>
      <c r="G411" s="52"/>
      <c r="H411" s="52"/>
      <c r="I411" s="52"/>
    </row>
    <row r="412">
      <c r="A412" s="33"/>
      <c r="F412" s="51"/>
      <c r="G412" s="52"/>
      <c r="H412" s="52"/>
      <c r="I412" s="52"/>
    </row>
    <row r="413">
      <c r="A413" s="33"/>
      <c r="F413" s="51"/>
      <c r="G413" s="52"/>
      <c r="H413" s="52"/>
      <c r="I413" s="52"/>
    </row>
    <row r="414">
      <c r="A414" s="33"/>
      <c r="F414" s="51"/>
      <c r="G414" s="52"/>
      <c r="H414" s="52"/>
      <c r="I414" s="52"/>
    </row>
    <row r="415">
      <c r="A415" s="33"/>
      <c r="F415" s="51"/>
      <c r="G415" s="52"/>
      <c r="H415" s="52"/>
      <c r="I415" s="52"/>
    </row>
    <row r="416">
      <c r="A416" s="33"/>
      <c r="F416" s="51"/>
      <c r="G416" s="52"/>
      <c r="H416" s="52"/>
      <c r="I416" s="52"/>
    </row>
    <row r="417">
      <c r="A417" s="33"/>
      <c r="F417" s="51"/>
      <c r="G417" s="52"/>
      <c r="H417" s="52"/>
      <c r="I417" s="52"/>
    </row>
    <row r="418">
      <c r="A418" s="33"/>
      <c r="F418" s="51"/>
      <c r="G418" s="52"/>
      <c r="H418" s="52"/>
      <c r="I418" s="52"/>
    </row>
    <row r="419">
      <c r="A419" s="33"/>
      <c r="F419" s="51"/>
      <c r="G419" s="52"/>
      <c r="H419" s="52"/>
      <c r="I419" s="52"/>
    </row>
    <row r="420">
      <c r="A420" s="33"/>
      <c r="F420" s="51"/>
      <c r="G420" s="52"/>
      <c r="H420" s="52"/>
      <c r="I420" s="52"/>
    </row>
    <row r="421">
      <c r="A421" s="33"/>
      <c r="F421" s="51"/>
      <c r="G421" s="52"/>
      <c r="H421" s="52"/>
      <c r="I421" s="52"/>
    </row>
    <row r="422">
      <c r="A422" s="33"/>
      <c r="F422" s="51"/>
      <c r="G422" s="52"/>
      <c r="H422" s="52"/>
      <c r="I422" s="52"/>
    </row>
    <row r="423">
      <c r="A423" s="33"/>
      <c r="F423" s="51"/>
      <c r="G423" s="52"/>
      <c r="H423" s="52"/>
      <c r="I423" s="52"/>
    </row>
    <row r="424">
      <c r="A424" s="33"/>
      <c r="F424" s="51"/>
      <c r="G424" s="52"/>
      <c r="H424" s="52"/>
      <c r="I424" s="52"/>
    </row>
    <row r="425">
      <c r="A425" s="33"/>
      <c r="F425" s="51"/>
      <c r="G425" s="52"/>
      <c r="H425" s="52"/>
      <c r="I425" s="52"/>
    </row>
    <row r="426">
      <c r="A426" s="33"/>
      <c r="F426" s="51"/>
      <c r="G426" s="52"/>
      <c r="H426" s="52"/>
      <c r="I426" s="52"/>
    </row>
    <row r="427">
      <c r="A427" s="33"/>
      <c r="F427" s="51"/>
      <c r="G427" s="52"/>
      <c r="H427" s="52"/>
      <c r="I427" s="52"/>
    </row>
    <row r="428">
      <c r="A428" s="33"/>
      <c r="F428" s="51"/>
      <c r="G428" s="52"/>
      <c r="H428" s="52"/>
      <c r="I428" s="52"/>
    </row>
    <row r="429">
      <c r="A429" s="33"/>
      <c r="F429" s="51"/>
      <c r="G429" s="52"/>
      <c r="H429" s="52"/>
      <c r="I429" s="52"/>
    </row>
    <row r="430">
      <c r="A430" s="33"/>
      <c r="F430" s="51"/>
      <c r="G430" s="52"/>
      <c r="H430" s="52"/>
      <c r="I430" s="52"/>
    </row>
    <row r="431">
      <c r="A431" s="33"/>
      <c r="F431" s="51"/>
      <c r="G431" s="52"/>
      <c r="H431" s="52"/>
      <c r="I431" s="52"/>
    </row>
    <row r="432">
      <c r="A432" s="33"/>
      <c r="F432" s="51"/>
      <c r="G432" s="52"/>
      <c r="H432" s="52"/>
      <c r="I432" s="52"/>
    </row>
    <row r="433">
      <c r="A433" s="33"/>
      <c r="F433" s="51"/>
      <c r="G433" s="52"/>
      <c r="H433" s="52"/>
      <c r="I433" s="52"/>
    </row>
    <row r="434">
      <c r="A434" s="33"/>
      <c r="F434" s="51"/>
      <c r="G434" s="52"/>
      <c r="H434" s="52"/>
      <c r="I434" s="52"/>
    </row>
    <row r="435">
      <c r="A435" s="33"/>
      <c r="F435" s="51"/>
      <c r="G435" s="52"/>
      <c r="H435" s="52"/>
      <c r="I435" s="52"/>
    </row>
    <row r="436">
      <c r="A436" s="33"/>
      <c r="F436" s="51"/>
      <c r="G436" s="52"/>
      <c r="H436" s="52"/>
      <c r="I436" s="52"/>
    </row>
    <row r="437">
      <c r="A437" s="33"/>
      <c r="F437" s="51"/>
      <c r="G437" s="52"/>
      <c r="H437" s="52"/>
      <c r="I437" s="52"/>
    </row>
    <row r="438">
      <c r="A438" s="33"/>
      <c r="F438" s="51"/>
      <c r="G438" s="52"/>
      <c r="H438" s="52"/>
      <c r="I438" s="52"/>
    </row>
    <row r="439">
      <c r="A439" s="33"/>
      <c r="F439" s="51"/>
      <c r="G439" s="52"/>
      <c r="H439" s="52"/>
      <c r="I439" s="52"/>
    </row>
    <row r="440">
      <c r="A440" s="33"/>
      <c r="F440" s="51"/>
      <c r="G440" s="52"/>
      <c r="H440" s="52"/>
      <c r="I440" s="52"/>
    </row>
    <row r="441">
      <c r="A441" s="33"/>
      <c r="F441" s="51"/>
      <c r="G441" s="52"/>
      <c r="H441" s="52"/>
      <c r="I441" s="52"/>
    </row>
    <row r="442">
      <c r="A442" s="33"/>
      <c r="F442" s="51"/>
      <c r="G442" s="52"/>
      <c r="H442" s="52"/>
      <c r="I442" s="52"/>
    </row>
    <row r="443">
      <c r="A443" s="33"/>
      <c r="F443" s="51"/>
      <c r="G443" s="52"/>
      <c r="H443" s="52"/>
      <c r="I443" s="52"/>
    </row>
    <row r="444">
      <c r="A444" s="33"/>
      <c r="F444" s="51"/>
      <c r="G444" s="52"/>
      <c r="H444" s="52"/>
      <c r="I444" s="52"/>
    </row>
    <row r="445">
      <c r="A445" s="33"/>
      <c r="F445" s="51"/>
      <c r="G445" s="52"/>
      <c r="H445" s="52"/>
      <c r="I445" s="52"/>
    </row>
    <row r="446">
      <c r="A446" s="33"/>
      <c r="F446" s="51"/>
      <c r="G446" s="52"/>
      <c r="H446" s="52"/>
      <c r="I446" s="52"/>
    </row>
    <row r="447">
      <c r="A447" s="33"/>
      <c r="F447" s="51"/>
      <c r="G447" s="52"/>
      <c r="H447" s="52"/>
      <c r="I447" s="52"/>
    </row>
    <row r="448">
      <c r="A448" s="33"/>
      <c r="F448" s="51"/>
      <c r="G448" s="52"/>
      <c r="H448" s="52"/>
      <c r="I448" s="52"/>
    </row>
    <row r="449">
      <c r="A449" s="33"/>
      <c r="F449" s="51"/>
      <c r="G449" s="52"/>
      <c r="H449" s="52"/>
      <c r="I449" s="52"/>
    </row>
    <row r="450">
      <c r="A450" s="33"/>
      <c r="F450" s="51"/>
      <c r="G450" s="52"/>
      <c r="H450" s="52"/>
      <c r="I450" s="52"/>
    </row>
    <row r="451">
      <c r="A451" s="33"/>
      <c r="F451" s="51"/>
      <c r="G451" s="52"/>
      <c r="H451" s="52"/>
      <c r="I451" s="52"/>
    </row>
    <row r="452">
      <c r="A452" s="33"/>
      <c r="F452" s="51"/>
      <c r="G452" s="52"/>
      <c r="H452" s="52"/>
      <c r="I452" s="52"/>
    </row>
    <row r="453">
      <c r="A453" s="33"/>
      <c r="F453" s="51"/>
      <c r="G453" s="52"/>
      <c r="H453" s="52"/>
      <c r="I453" s="52"/>
    </row>
    <row r="454">
      <c r="A454" s="33"/>
      <c r="F454" s="51"/>
      <c r="G454" s="52"/>
      <c r="H454" s="52"/>
      <c r="I454" s="52"/>
    </row>
    <row r="455">
      <c r="A455" s="33"/>
      <c r="F455" s="51"/>
      <c r="G455" s="52"/>
      <c r="H455" s="52"/>
      <c r="I455" s="52"/>
    </row>
    <row r="456">
      <c r="A456" s="33"/>
      <c r="F456" s="51"/>
      <c r="G456" s="52"/>
      <c r="H456" s="52"/>
      <c r="I456" s="52"/>
    </row>
    <row r="457">
      <c r="A457" s="33"/>
      <c r="F457" s="51"/>
      <c r="G457" s="52"/>
      <c r="H457" s="52"/>
      <c r="I457" s="52"/>
    </row>
    <row r="458">
      <c r="A458" s="33"/>
      <c r="F458" s="51"/>
      <c r="G458" s="52"/>
      <c r="H458" s="52"/>
      <c r="I458" s="52"/>
    </row>
    <row r="459">
      <c r="A459" s="33"/>
      <c r="F459" s="51"/>
      <c r="G459" s="52"/>
      <c r="H459" s="52"/>
      <c r="I459" s="52"/>
    </row>
    <row r="460">
      <c r="A460" s="33"/>
      <c r="F460" s="51"/>
      <c r="G460" s="52"/>
      <c r="H460" s="52"/>
      <c r="I460" s="52"/>
    </row>
    <row r="461">
      <c r="A461" s="33"/>
      <c r="F461" s="51"/>
      <c r="G461" s="52"/>
      <c r="H461" s="52"/>
      <c r="I461" s="52"/>
    </row>
    <row r="462">
      <c r="A462" s="33"/>
      <c r="F462" s="51"/>
      <c r="G462" s="52"/>
      <c r="H462" s="52"/>
      <c r="I462" s="52"/>
    </row>
    <row r="463">
      <c r="A463" s="33"/>
      <c r="F463" s="51"/>
      <c r="G463" s="52"/>
      <c r="H463" s="52"/>
      <c r="I463" s="52"/>
    </row>
    <row r="464">
      <c r="A464" s="33"/>
      <c r="F464" s="51"/>
      <c r="G464" s="52"/>
      <c r="H464" s="52"/>
      <c r="I464" s="52"/>
    </row>
    <row r="465">
      <c r="A465" s="33"/>
      <c r="F465" s="51"/>
      <c r="G465" s="52"/>
      <c r="H465" s="52"/>
      <c r="I465" s="52"/>
    </row>
    <row r="466">
      <c r="A466" s="33"/>
      <c r="F466" s="51"/>
      <c r="G466" s="52"/>
      <c r="H466" s="52"/>
      <c r="I466" s="52"/>
    </row>
    <row r="467">
      <c r="A467" s="33"/>
      <c r="F467" s="51"/>
      <c r="G467" s="52"/>
      <c r="H467" s="52"/>
      <c r="I467" s="52"/>
    </row>
    <row r="468">
      <c r="A468" s="33"/>
      <c r="F468" s="51"/>
      <c r="G468" s="52"/>
      <c r="H468" s="52"/>
      <c r="I468" s="52"/>
    </row>
    <row r="469">
      <c r="A469" s="33"/>
      <c r="F469" s="51"/>
      <c r="G469" s="52"/>
      <c r="H469" s="52"/>
      <c r="I469" s="52"/>
    </row>
    <row r="470">
      <c r="A470" s="33"/>
      <c r="F470" s="51"/>
      <c r="G470" s="52"/>
      <c r="H470" s="52"/>
      <c r="I470" s="52"/>
    </row>
    <row r="471">
      <c r="A471" s="33"/>
      <c r="F471" s="51"/>
      <c r="G471" s="52"/>
      <c r="H471" s="52"/>
      <c r="I471" s="52"/>
    </row>
    <row r="472">
      <c r="A472" s="33"/>
      <c r="F472" s="51"/>
      <c r="G472" s="52"/>
      <c r="H472" s="52"/>
      <c r="I472" s="52"/>
    </row>
    <row r="473">
      <c r="A473" s="33"/>
      <c r="F473" s="51"/>
      <c r="G473" s="52"/>
      <c r="H473" s="52"/>
      <c r="I473" s="52"/>
    </row>
    <row r="474">
      <c r="A474" s="33"/>
      <c r="F474" s="51"/>
      <c r="G474" s="52"/>
      <c r="H474" s="52"/>
      <c r="I474" s="52"/>
    </row>
    <row r="475">
      <c r="A475" s="33"/>
      <c r="F475" s="51"/>
      <c r="G475" s="52"/>
      <c r="H475" s="52"/>
      <c r="I475" s="52"/>
    </row>
    <row r="476">
      <c r="A476" s="33"/>
      <c r="F476" s="51"/>
      <c r="G476" s="52"/>
      <c r="H476" s="52"/>
      <c r="I476" s="52"/>
    </row>
    <row r="477">
      <c r="A477" s="33"/>
      <c r="F477" s="51"/>
      <c r="G477" s="52"/>
      <c r="H477" s="52"/>
      <c r="I477" s="52"/>
    </row>
    <row r="478">
      <c r="A478" s="33"/>
      <c r="F478" s="51"/>
      <c r="G478" s="52"/>
      <c r="H478" s="52"/>
      <c r="I478" s="52"/>
    </row>
    <row r="479">
      <c r="A479" s="33"/>
      <c r="F479" s="51"/>
      <c r="G479" s="52"/>
      <c r="H479" s="52"/>
      <c r="I479" s="52"/>
    </row>
    <row r="480">
      <c r="A480" s="33"/>
      <c r="F480" s="51"/>
      <c r="G480" s="52"/>
      <c r="H480" s="52"/>
      <c r="I480" s="52"/>
    </row>
    <row r="481">
      <c r="A481" s="33"/>
      <c r="F481" s="51"/>
      <c r="G481" s="52"/>
      <c r="H481" s="52"/>
      <c r="I481" s="52"/>
    </row>
    <row r="482">
      <c r="A482" s="33"/>
      <c r="F482" s="51"/>
      <c r="G482" s="52"/>
      <c r="H482" s="52"/>
      <c r="I482" s="52"/>
    </row>
    <row r="483">
      <c r="A483" s="33"/>
      <c r="F483" s="51"/>
      <c r="G483" s="52"/>
      <c r="H483" s="52"/>
      <c r="I483" s="52"/>
    </row>
    <row r="484">
      <c r="A484" s="33"/>
      <c r="F484" s="51"/>
      <c r="G484" s="52"/>
      <c r="H484" s="52"/>
      <c r="I484" s="52"/>
    </row>
    <row r="485">
      <c r="A485" s="33"/>
      <c r="F485" s="51"/>
      <c r="G485" s="52"/>
      <c r="H485" s="52"/>
      <c r="I485" s="52"/>
    </row>
    <row r="486">
      <c r="A486" s="33"/>
      <c r="F486" s="51"/>
      <c r="G486" s="52"/>
      <c r="H486" s="52"/>
      <c r="I486" s="52"/>
    </row>
    <row r="487">
      <c r="A487" s="33"/>
      <c r="F487" s="51"/>
      <c r="G487" s="52"/>
      <c r="H487" s="52"/>
      <c r="I487" s="52"/>
    </row>
    <row r="488">
      <c r="A488" s="33"/>
      <c r="F488" s="51"/>
      <c r="G488" s="52"/>
      <c r="H488" s="52"/>
      <c r="I488" s="52"/>
    </row>
    <row r="489">
      <c r="A489" s="33"/>
      <c r="F489" s="51"/>
      <c r="G489" s="52"/>
      <c r="H489" s="52"/>
      <c r="I489" s="52"/>
    </row>
    <row r="490">
      <c r="A490" s="33"/>
      <c r="F490" s="51"/>
      <c r="G490" s="52"/>
      <c r="H490" s="52"/>
      <c r="I490" s="52"/>
    </row>
    <row r="491">
      <c r="A491" s="33"/>
      <c r="F491" s="51"/>
      <c r="G491" s="52"/>
      <c r="H491" s="52"/>
      <c r="I491" s="52"/>
    </row>
    <row r="492">
      <c r="A492" s="33"/>
      <c r="F492" s="51"/>
      <c r="G492" s="52"/>
      <c r="H492" s="52"/>
      <c r="I492" s="52"/>
    </row>
    <row r="493">
      <c r="A493" s="33"/>
      <c r="F493" s="51"/>
      <c r="G493" s="52"/>
      <c r="H493" s="52"/>
      <c r="I493" s="52"/>
    </row>
    <row r="494">
      <c r="A494" s="33"/>
      <c r="F494" s="51"/>
      <c r="G494" s="52"/>
      <c r="H494" s="52"/>
      <c r="I494" s="52"/>
    </row>
    <row r="495">
      <c r="A495" s="33"/>
      <c r="F495" s="51"/>
      <c r="G495" s="52"/>
      <c r="H495" s="52"/>
      <c r="I495" s="52"/>
    </row>
    <row r="496">
      <c r="A496" s="33"/>
      <c r="F496" s="51"/>
      <c r="G496" s="52"/>
      <c r="H496" s="52"/>
      <c r="I496" s="52"/>
    </row>
    <row r="497">
      <c r="A497" s="33"/>
      <c r="F497" s="51"/>
      <c r="G497" s="52"/>
      <c r="H497" s="52"/>
      <c r="I497" s="52"/>
    </row>
    <row r="498">
      <c r="A498" s="33"/>
      <c r="F498" s="51"/>
      <c r="G498" s="52"/>
      <c r="H498" s="52"/>
      <c r="I498" s="52"/>
    </row>
    <row r="499">
      <c r="A499" s="33"/>
      <c r="F499" s="51"/>
      <c r="G499" s="52"/>
      <c r="H499" s="52"/>
      <c r="I499" s="52"/>
    </row>
    <row r="500">
      <c r="A500" s="33"/>
      <c r="F500" s="51"/>
      <c r="G500" s="52"/>
      <c r="H500" s="52"/>
      <c r="I500" s="52"/>
    </row>
    <row r="501">
      <c r="A501" s="33"/>
      <c r="F501" s="51"/>
      <c r="G501" s="52"/>
      <c r="H501" s="52"/>
      <c r="I501" s="52"/>
    </row>
    <row r="502">
      <c r="A502" s="33"/>
      <c r="F502" s="51"/>
      <c r="G502" s="52"/>
      <c r="H502" s="52"/>
      <c r="I502" s="52"/>
    </row>
    <row r="503">
      <c r="A503" s="33"/>
      <c r="F503" s="51"/>
      <c r="G503" s="52"/>
      <c r="H503" s="52"/>
      <c r="I503" s="52"/>
    </row>
    <row r="504">
      <c r="A504" s="33"/>
      <c r="F504" s="51"/>
      <c r="G504" s="52"/>
      <c r="H504" s="52"/>
      <c r="I504" s="52"/>
    </row>
    <row r="505">
      <c r="A505" s="33"/>
      <c r="F505" s="51"/>
      <c r="G505" s="52"/>
      <c r="H505" s="52"/>
      <c r="I505" s="52"/>
    </row>
    <row r="506">
      <c r="A506" s="33"/>
      <c r="F506" s="51"/>
      <c r="G506" s="52"/>
      <c r="H506" s="52"/>
      <c r="I506" s="52"/>
    </row>
    <row r="507">
      <c r="A507" s="33"/>
      <c r="F507" s="51"/>
      <c r="G507" s="52"/>
      <c r="H507" s="52"/>
      <c r="I507" s="52"/>
    </row>
    <row r="508">
      <c r="A508" s="33"/>
      <c r="F508" s="51"/>
      <c r="G508" s="52"/>
      <c r="H508" s="52"/>
      <c r="I508" s="52"/>
    </row>
    <row r="509">
      <c r="A509" s="33"/>
      <c r="F509" s="51"/>
      <c r="G509" s="52"/>
      <c r="H509" s="52"/>
      <c r="I509" s="52"/>
    </row>
    <row r="510">
      <c r="A510" s="33"/>
      <c r="F510" s="51"/>
      <c r="G510" s="52"/>
      <c r="H510" s="52"/>
      <c r="I510" s="52"/>
    </row>
    <row r="511">
      <c r="A511" s="33"/>
      <c r="F511" s="51"/>
      <c r="G511" s="52"/>
      <c r="H511" s="52"/>
      <c r="I511" s="52"/>
    </row>
    <row r="512">
      <c r="A512" s="33"/>
      <c r="F512" s="51"/>
      <c r="G512" s="52"/>
      <c r="H512" s="52"/>
      <c r="I512" s="52"/>
    </row>
    <row r="513">
      <c r="A513" s="33"/>
      <c r="F513" s="51"/>
      <c r="G513" s="52"/>
      <c r="H513" s="52"/>
      <c r="I513" s="52"/>
    </row>
    <row r="514">
      <c r="A514" s="33"/>
      <c r="F514" s="51"/>
      <c r="G514" s="52"/>
      <c r="H514" s="52"/>
      <c r="I514" s="52"/>
    </row>
    <row r="515">
      <c r="A515" s="33"/>
      <c r="F515" s="51"/>
      <c r="G515" s="52"/>
      <c r="H515" s="52"/>
      <c r="I515" s="52"/>
    </row>
    <row r="516">
      <c r="A516" s="33"/>
      <c r="F516" s="51"/>
      <c r="G516" s="52"/>
      <c r="H516" s="52"/>
      <c r="I516" s="52"/>
    </row>
    <row r="517">
      <c r="A517" s="33"/>
      <c r="F517" s="51"/>
      <c r="G517" s="52"/>
      <c r="H517" s="52"/>
      <c r="I517" s="52"/>
    </row>
    <row r="518">
      <c r="A518" s="33"/>
      <c r="F518" s="51"/>
      <c r="G518" s="52"/>
      <c r="H518" s="52"/>
      <c r="I518" s="52"/>
    </row>
    <row r="519">
      <c r="A519" s="33"/>
      <c r="F519" s="51"/>
      <c r="G519" s="52"/>
      <c r="H519" s="52"/>
      <c r="I519" s="52"/>
    </row>
    <row r="520">
      <c r="A520" s="33"/>
      <c r="F520" s="51"/>
      <c r="G520" s="52"/>
      <c r="H520" s="52"/>
      <c r="I520" s="52"/>
    </row>
    <row r="521">
      <c r="A521" s="33"/>
      <c r="F521" s="51"/>
      <c r="G521" s="52"/>
      <c r="H521" s="52"/>
      <c r="I521" s="52"/>
    </row>
    <row r="522">
      <c r="A522" s="33"/>
      <c r="F522" s="51"/>
      <c r="G522" s="52"/>
      <c r="H522" s="52"/>
      <c r="I522" s="52"/>
    </row>
    <row r="523">
      <c r="A523" s="33"/>
      <c r="F523" s="51"/>
      <c r="G523" s="52"/>
      <c r="H523" s="52"/>
      <c r="I523" s="52"/>
    </row>
    <row r="524">
      <c r="A524" s="33"/>
      <c r="F524" s="51"/>
      <c r="G524" s="52"/>
      <c r="H524" s="52"/>
      <c r="I524" s="52"/>
    </row>
    <row r="525">
      <c r="A525" s="33"/>
      <c r="F525" s="51"/>
      <c r="G525" s="52"/>
      <c r="H525" s="52"/>
      <c r="I525" s="52"/>
    </row>
    <row r="526">
      <c r="A526" s="33"/>
      <c r="F526" s="51"/>
      <c r="G526" s="52"/>
      <c r="H526" s="52"/>
      <c r="I526" s="52"/>
    </row>
    <row r="527">
      <c r="A527" s="33"/>
      <c r="F527" s="51"/>
      <c r="G527" s="52"/>
      <c r="H527" s="52"/>
      <c r="I527" s="52"/>
    </row>
    <row r="528">
      <c r="A528" s="33"/>
      <c r="F528" s="51"/>
      <c r="G528" s="52"/>
      <c r="H528" s="52"/>
      <c r="I528" s="52"/>
    </row>
    <row r="529">
      <c r="A529" s="33"/>
      <c r="F529" s="51"/>
      <c r="G529" s="52"/>
      <c r="H529" s="52"/>
      <c r="I529" s="52"/>
    </row>
    <row r="530">
      <c r="A530" s="33"/>
      <c r="F530" s="51"/>
      <c r="G530" s="52"/>
      <c r="H530" s="52"/>
      <c r="I530" s="52"/>
    </row>
    <row r="531">
      <c r="A531" s="33"/>
      <c r="F531" s="51"/>
      <c r="G531" s="52"/>
      <c r="H531" s="52"/>
      <c r="I531" s="52"/>
    </row>
    <row r="532">
      <c r="A532" s="33"/>
      <c r="F532" s="51"/>
      <c r="G532" s="52"/>
      <c r="H532" s="52"/>
      <c r="I532" s="52"/>
    </row>
    <row r="533">
      <c r="A533" s="33"/>
      <c r="F533" s="51"/>
      <c r="G533" s="52"/>
      <c r="H533" s="52"/>
      <c r="I533" s="52"/>
    </row>
    <row r="534">
      <c r="A534" s="33"/>
      <c r="F534" s="51"/>
      <c r="G534" s="52"/>
      <c r="H534" s="52"/>
      <c r="I534" s="52"/>
    </row>
    <row r="535">
      <c r="A535" s="33"/>
      <c r="F535" s="51"/>
      <c r="G535" s="52"/>
      <c r="H535" s="52"/>
      <c r="I535" s="52"/>
    </row>
    <row r="536">
      <c r="A536" s="33"/>
      <c r="F536" s="51"/>
      <c r="G536" s="52"/>
      <c r="H536" s="52"/>
      <c r="I536" s="52"/>
    </row>
    <row r="537">
      <c r="A537" s="33"/>
      <c r="F537" s="51"/>
      <c r="G537" s="52"/>
      <c r="H537" s="52"/>
      <c r="I537" s="52"/>
    </row>
    <row r="538">
      <c r="A538" s="33"/>
      <c r="F538" s="51"/>
      <c r="G538" s="52"/>
      <c r="H538" s="52"/>
      <c r="I538" s="52"/>
    </row>
    <row r="539">
      <c r="A539" s="33"/>
      <c r="F539" s="51"/>
      <c r="G539" s="52"/>
      <c r="H539" s="52"/>
      <c r="I539" s="52"/>
    </row>
    <row r="540">
      <c r="A540" s="33"/>
      <c r="F540" s="51"/>
      <c r="G540" s="52"/>
      <c r="H540" s="52"/>
      <c r="I540" s="52"/>
    </row>
    <row r="541">
      <c r="A541" s="33"/>
      <c r="F541" s="51"/>
      <c r="G541" s="52"/>
      <c r="H541" s="52"/>
      <c r="I541" s="52"/>
    </row>
    <row r="542">
      <c r="A542" s="33"/>
      <c r="F542" s="51"/>
      <c r="G542" s="52"/>
      <c r="H542" s="52"/>
      <c r="I542" s="52"/>
    </row>
    <row r="543">
      <c r="A543" s="33"/>
      <c r="F543" s="51"/>
      <c r="G543" s="52"/>
      <c r="H543" s="52"/>
      <c r="I543" s="52"/>
    </row>
    <row r="544">
      <c r="A544" s="33"/>
      <c r="F544" s="51"/>
      <c r="G544" s="52"/>
      <c r="H544" s="52"/>
      <c r="I544" s="52"/>
    </row>
    <row r="545">
      <c r="A545" s="33"/>
      <c r="F545" s="51"/>
      <c r="G545" s="52"/>
      <c r="H545" s="52"/>
      <c r="I545" s="52"/>
    </row>
    <row r="546">
      <c r="A546" s="33"/>
      <c r="F546" s="51"/>
      <c r="G546" s="52"/>
      <c r="H546" s="52"/>
      <c r="I546" s="52"/>
    </row>
    <row r="547">
      <c r="A547" s="33"/>
      <c r="F547" s="51"/>
      <c r="G547" s="52"/>
      <c r="H547" s="52"/>
      <c r="I547" s="52"/>
    </row>
    <row r="548">
      <c r="A548" s="33"/>
      <c r="F548" s="51"/>
      <c r="G548" s="52"/>
      <c r="H548" s="52"/>
      <c r="I548" s="52"/>
    </row>
    <row r="549">
      <c r="A549" s="33"/>
      <c r="F549" s="51"/>
      <c r="G549" s="52"/>
      <c r="H549" s="52"/>
      <c r="I549" s="52"/>
    </row>
    <row r="550">
      <c r="A550" s="33"/>
      <c r="F550" s="51"/>
      <c r="G550" s="52"/>
      <c r="H550" s="52"/>
      <c r="I550" s="52"/>
    </row>
    <row r="551">
      <c r="A551" s="33"/>
      <c r="F551" s="51"/>
      <c r="G551" s="52"/>
      <c r="H551" s="52"/>
      <c r="I551" s="52"/>
    </row>
    <row r="552">
      <c r="A552" s="33"/>
      <c r="F552" s="51"/>
      <c r="G552" s="52"/>
      <c r="H552" s="52"/>
      <c r="I552" s="52"/>
    </row>
    <row r="553">
      <c r="A553" s="33"/>
      <c r="F553" s="51"/>
      <c r="G553" s="52"/>
      <c r="H553" s="52"/>
      <c r="I553" s="52"/>
    </row>
    <row r="554">
      <c r="A554" s="33"/>
      <c r="F554" s="51"/>
      <c r="G554" s="52"/>
      <c r="H554" s="52"/>
      <c r="I554" s="52"/>
    </row>
    <row r="555">
      <c r="A555" s="33"/>
      <c r="F555" s="51"/>
      <c r="G555" s="52"/>
      <c r="H555" s="52"/>
      <c r="I555" s="52"/>
    </row>
    <row r="556">
      <c r="A556" s="33"/>
      <c r="F556" s="51"/>
      <c r="G556" s="52"/>
      <c r="H556" s="52"/>
      <c r="I556" s="52"/>
    </row>
    <row r="557">
      <c r="A557" s="33"/>
      <c r="F557" s="51"/>
      <c r="G557" s="52"/>
      <c r="H557" s="52"/>
      <c r="I557" s="52"/>
    </row>
    <row r="558">
      <c r="A558" s="33"/>
      <c r="F558" s="51"/>
      <c r="G558" s="52"/>
      <c r="H558" s="52"/>
      <c r="I558" s="52"/>
    </row>
    <row r="559">
      <c r="A559" s="33"/>
      <c r="F559" s="51"/>
      <c r="G559" s="52"/>
      <c r="H559" s="52"/>
      <c r="I559" s="52"/>
    </row>
    <row r="560">
      <c r="A560" s="33"/>
      <c r="F560" s="51"/>
      <c r="G560" s="52"/>
      <c r="H560" s="52"/>
      <c r="I560" s="52"/>
    </row>
    <row r="561">
      <c r="A561" s="33"/>
      <c r="F561" s="51"/>
      <c r="G561" s="52"/>
      <c r="H561" s="52"/>
      <c r="I561" s="52"/>
    </row>
    <row r="562">
      <c r="A562" s="33"/>
      <c r="F562" s="51"/>
      <c r="G562" s="52"/>
      <c r="H562" s="52"/>
      <c r="I562" s="52"/>
    </row>
    <row r="563">
      <c r="A563" s="33"/>
      <c r="F563" s="51"/>
      <c r="G563" s="52"/>
      <c r="H563" s="52"/>
      <c r="I563" s="52"/>
    </row>
    <row r="564">
      <c r="A564" s="33"/>
      <c r="F564" s="51"/>
      <c r="G564" s="52"/>
      <c r="H564" s="52"/>
      <c r="I564" s="52"/>
    </row>
    <row r="565">
      <c r="A565" s="33"/>
      <c r="F565" s="51"/>
      <c r="G565" s="52"/>
      <c r="H565" s="52"/>
      <c r="I565" s="52"/>
    </row>
    <row r="566">
      <c r="A566" s="33"/>
      <c r="F566" s="51"/>
      <c r="G566" s="52"/>
      <c r="H566" s="52"/>
      <c r="I566" s="52"/>
    </row>
    <row r="567">
      <c r="A567" s="33"/>
      <c r="F567" s="51"/>
      <c r="G567" s="52"/>
      <c r="H567" s="52"/>
      <c r="I567" s="52"/>
    </row>
    <row r="568">
      <c r="A568" s="33"/>
      <c r="F568" s="51"/>
      <c r="G568" s="52"/>
      <c r="H568" s="52"/>
      <c r="I568" s="52"/>
    </row>
    <row r="569">
      <c r="A569" s="33"/>
      <c r="F569" s="51"/>
      <c r="G569" s="52"/>
      <c r="H569" s="52"/>
      <c r="I569" s="52"/>
    </row>
    <row r="570">
      <c r="A570" s="33"/>
      <c r="F570" s="51"/>
      <c r="G570" s="52"/>
      <c r="H570" s="52"/>
      <c r="I570" s="52"/>
    </row>
    <row r="571">
      <c r="A571" s="33"/>
      <c r="F571" s="51"/>
      <c r="G571" s="52"/>
      <c r="H571" s="52"/>
      <c r="I571" s="52"/>
    </row>
    <row r="572">
      <c r="A572" s="33"/>
      <c r="F572" s="51"/>
      <c r="G572" s="52"/>
      <c r="H572" s="52"/>
      <c r="I572" s="52"/>
    </row>
    <row r="573">
      <c r="A573" s="33"/>
      <c r="F573" s="51"/>
      <c r="G573" s="52"/>
      <c r="H573" s="52"/>
      <c r="I573" s="52"/>
    </row>
    <row r="574">
      <c r="A574" s="33"/>
      <c r="F574" s="51"/>
      <c r="G574" s="52"/>
      <c r="H574" s="52"/>
      <c r="I574" s="52"/>
    </row>
    <row r="575">
      <c r="A575" s="33"/>
      <c r="F575" s="51"/>
      <c r="G575" s="52"/>
      <c r="H575" s="52"/>
      <c r="I575" s="52"/>
    </row>
    <row r="576">
      <c r="A576" s="33"/>
      <c r="F576" s="51"/>
      <c r="G576" s="52"/>
      <c r="H576" s="52"/>
      <c r="I576" s="52"/>
    </row>
    <row r="577">
      <c r="A577" s="33"/>
      <c r="F577" s="51"/>
      <c r="G577" s="52"/>
      <c r="H577" s="52"/>
      <c r="I577" s="52"/>
    </row>
    <row r="578">
      <c r="A578" s="33"/>
      <c r="F578" s="51"/>
      <c r="G578" s="52"/>
      <c r="H578" s="52"/>
      <c r="I578" s="52"/>
    </row>
    <row r="579">
      <c r="A579" s="33"/>
      <c r="F579" s="51"/>
      <c r="G579" s="52"/>
      <c r="H579" s="52"/>
      <c r="I579" s="52"/>
    </row>
    <row r="580">
      <c r="A580" s="33"/>
      <c r="F580" s="51"/>
      <c r="G580" s="52"/>
      <c r="H580" s="52"/>
      <c r="I580" s="52"/>
    </row>
    <row r="581">
      <c r="A581" s="33"/>
      <c r="F581" s="51"/>
      <c r="G581" s="52"/>
      <c r="H581" s="52"/>
      <c r="I581" s="52"/>
    </row>
    <row r="582">
      <c r="A582" s="33"/>
      <c r="F582" s="51"/>
      <c r="G582" s="52"/>
      <c r="H582" s="52"/>
      <c r="I582" s="52"/>
    </row>
    <row r="583">
      <c r="A583" s="33"/>
      <c r="F583" s="51"/>
      <c r="G583" s="52"/>
      <c r="H583" s="52"/>
      <c r="I583" s="52"/>
    </row>
    <row r="584">
      <c r="A584" s="33"/>
      <c r="F584" s="51"/>
      <c r="G584" s="52"/>
      <c r="H584" s="52"/>
      <c r="I584" s="52"/>
    </row>
    <row r="585">
      <c r="A585" s="33"/>
      <c r="F585" s="51"/>
      <c r="G585" s="52"/>
      <c r="H585" s="52"/>
      <c r="I585" s="52"/>
    </row>
    <row r="586">
      <c r="A586" s="33"/>
      <c r="F586" s="51"/>
      <c r="G586" s="52"/>
      <c r="H586" s="52"/>
      <c r="I586" s="52"/>
    </row>
    <row r="587">
      <c r="A587" s="33"/>
      <c r="F587" s="51"/>
      <c r="G587" s="52"/>
      <c r="H587" s="52"/>
      <c r="I587" s="52"/>
    </row>
    <row r="588">
      <c r="A588" s="33"/>
      <c r="F588" s="51"/>
      <c r="G588" s="52"/>
      <c r="H588" s="52"/>
      <c r="I588" s="52"/>
    </row>
    <row r="589">
      <c r="A589" s="33"/>
      <c r="F589" s="51"/>
      <c r="G589" s="52"/>
      <c r="H589" s="52"/>
      <c r="I589" s="52"/>
    </row>
    <row r="590">
      <c r="A590" s="33"/>
      <c r="F590" s="51"/>
      <c r="G590" s="52"/>
      <c r="H590" s="52"/>
      <c r="I590" s="52"/>
    </row>
    <row r="591">
      <c r="A591" s="33"/>
      <c r="F591" s="51"/>
      <c r="G591" s="52"/>
      <c r="H591" s="52"/>
      <c r="I591" s="52"/>
    </row>
    <row r="592">
      <c r="A592" s="33"/>
      <c r="F592" s="51"/>
      <c r="G592" s="52"/>
      <c r="H592" s="52"/>
      <c r="I592" s="52"/>
    </row>
    <row r="593">
      <c r="A593" s="33"/>
      <c r="F593" s="51"/>
      <c r="G593" s="52"/>
      <c r="H593" s="52"/>
      <c r="I593" s="52"/>
    </row>
    <row r="594">
      <c r="A594" s="33"/>
      <c r="F594" s="51"/>
      <c r="G594" s="52"/>
      <c r="H594" s="52"/>
      <c r="I594" s="52"/>
    </row>
    <row r="595">
      <c r="A595" s="33"/>
      <c r="F595" s="51"/>
      <c r="G595" s="52"/>
      <c r="H595" s="52"/>
      <c r="I595" s="52"/>
    </row>
    <row r="596">
      <c r="A596" s="33"/>
      <c r="F596" s="51"/>
      <c r="G596" s="52"/>
      <c r="H596" s="52"/>
      <c r="I596" s="52"/>
    </row>
    <row r="597">
      <c r="A597" s="33"/>
      <c r="F597" s="51"/>
      <c r="G597" s="52"/>
      <c r="H597" s="52"/>
      <c r="I597" s="52"/>
    </row>
    <row r="598">
      <c r="A598" s="33"/>
      <c r="F598" s="51"/>
      <c r="G598" s="52"/>
      <c r="H598" s="52"/>
      <c r="I598" s="52"/>
    </row>
    <row r="599">
      <c r="A599" s="33"/>
      <c r="F599" s="51"/>
      <c r="G599" s="52"/>
      <c r="H599" s="52"/>
      <c r="I599" s="52"/>
    </row>
    <row r="600">
      <c r="A600" s="33"/>
      <c r="F600" s="51"/>
      <c r="G600" s="52"/>
      <c r="H600" s="52"/>
      <c r="I600" s="52"/>
    </row>
    <row r="601">
      <c r="A601" s="33"/>
      <c r="F601" s="51"/>
      <c r="G601" s="52"/>
      <c r="H601" s="52"/>
      <c r="I601" s="52"/>
    </row>
    <row r="602">
      <c r="A602" s="33"/>
      <c r="F602" s="51"/>
      <c r="G602" s="52"/>
      <c r="H602" s="52"/>
      <c r="I602" s="52"/>
    </row>
    <row r="603">
      <c r="A603" s="33"/>
      <c r="F603" s="51"/>
      <c r="G603" s="52"/>
      <c r="H603" s="52"/>
      <c r="I603" s="52"/>
    </row>
    <row r="604">
      <c r="A604" s="33"/>
      <c r="F604" s="51"/>
      <c r="G604" s="52"/>
      <c r="H604" s="52"/>
      <c r="I604" s="52"/>
    </row>
    <row r="605">
      <c r="A605" s="33"/>
      <c r="F605" s="51"/>
      <c r="G605" s="52"/>
      <c r="H605" s="52"/>
      <c r="I605" s="52"/>
    </row>
    <row r="606">
      <c r="A606" s="33"/>
      <c r="F606" s="51"/>
      <c r="G606" s="52"/>
      <c r="H606" s="52"/>
      <c r="I606" s="52"/>
    </row>
    <row r="607">
      <c r="A607" s="33"/>
      <c r="F607" s="51"/>
      <c r="G607" s="52"/>
      <c r="H607" s="52"/>
      <c r="I607" s="52"/>
    </row>
    <row r="608">
      <c r="A608" s="33"/>
      <c r="F608" s="51"/>
      <c r="G608" s="52"/>
      <c r="H608" s="52"/>
      <c r="I608" s="52"/>
    </row>
    <row r="609">
      <c r="A609" s="33"/>
      <c r="F609" s="51"/>
      <c r="G609" s="52"/>
      <c r="H609" s="52"/>
      <c r="I609" s="52"/>
    </row>
    <row r="610">
      <c r="A610" s="33"/>
      <c r="F610" s="51"/>
      <c r="G610" s="52"/>
      <c r="H610" s="52"/>
      <c r="I610" s="52"/>
    </row>
    <row r="611">
      <c r="A611" s="33"/>
      <c r="F611" s="51"/>
      <c r="G611" s="52"/>
      <c r="H611" s="52"/>
      <c r="I611" s="52"/>
    </row>
    <row r="612">
      <c r="A612" s="33"/>
      <c r="F612" s="51"/>
      <c r="G612" s="52"/>
      <c r="H612" s="52"/>
      <c r="I612" s="52"/>
    </row>
    <row r="613">
      <c r="A613" s="33"/>
      <c r="F613" s="51"/>
      <c r="G613" s="52"/>
      <c r="H613" s="52"/>
      <c r="I613" s="52"/>
    </row>
    <row r="614">
      <c r="A614" s="33"/>
      <c r="F614" s="51"/>
      <c r="G614" s="52"/>
      <c r="H614" s="52"/>
      <c r="I614" s="52"/>
    </row>
    <row r="615">
      <c r="A615" s="33"/>
      <c r="F615" s="51"/>
      <c r="G615" s="52"/>
      <c r="H615" s="52"/>
      <c r="I615" s="52"/>
    </row>
    <row r="616">
      <c r="A616" s="33"/>
      <c r="F616" s="51"/>
      <c r="G616" s="52"/>
      <c r="H616" s="52"/>
      <c r="I616" s="52"/>
    </row>
    <row r="617">
      <c r="A617" s="33"/>
      <c r="F617" s="51"/>
      <c r="G617" s="52"/>
      <c r="H617" s="52"/>
      <c r="I617" s="52"/>
    </row>
    <row r="618">
      <c r="A618" s="33"/>
      <c r="F618" s="51"/>
      <c r="G618" s="52"/>
      <c r="H618" s="52"/>
      <c r="I618" s="52"/>
    </row>
    <row r="619">
      <c r="A619" s="33"/>
      <c r="F619" s="51"/>
      <c r="G619" s="52"/>
      <c r="H619" s="52"/>
      <c r="I619" s="52"/>
    </row>
    <row r="620">
      <c r="A620" s="33"/>
      <c r="F620" s="51"/>
      <c r="G620" s="52"/>
      <c r="H620" s="52"/>
      <c r="I620" s="52"/>
    </row>
    <row r="621">
      <c r="A621" s="33"/>
      <c r="F621" s="51"/>
      <c r="G621" s="52"/>
      <c r="H621" s="52"/>
      <c r="I621" s="52"/>
    </row>
    <row r="622">
      <c r="A622" s="33"/>
      <c r="F622" s="51"/>
      <c r="G622" s="52"/>
      <c r="H622" s="52"/>
      <c r="I622" s="52"/>
    </row>
    <row r="623">
      <c r="A623" s="33"/>
      <c r="F623" s="51"/>
      <c r="G623" s="52"/>
      <c r="H623" s="52"/>
      <c r="I623" s="52"/>
    </row>
    <row r="624">
      <c r="A624" s="33"/>
      <c r="F624" s="51"/>
      <c r="G624" s="52"/>
      <c r="H624" s="52"/>
      <c r="I624" s="52"/>
    </row>
    <row r="625">
      <c r="A625" s="33"/>
      <c r="F625" s="51"/>
      <c r="G625" s="52"/>
      <c r="H625" s="52"/>
      <c r="I625" s="52"/>
    </row>
    <row r="626">
      <c r="A626" s="33"/>
      <c r="F626" s="51"/>
      <c r="G626" s="52"/>
      <c r="H626" s="52"/>
      <c r="I626" s="52"/>
    </row>
    <row r="627">
      <c r="A627" s="33"/>
      <c r="F627" s="51"/>
      <c r="G627" s="52"/>
      <c r="H627" s="52"/>
      <c r="I627" s="52"/>
    </row>
    <row r="628">
      <c r="A628" s="33"/>
      <c r="F628" s="51"/>
      <c r="G628" s="52"/>
      <c r="H628" s="52"/>
      <c r="I628" s="52"/>
    </row>
    <row r="629">
      <c r="A629" s="33"/>
      <c r="F629" s="51"/>
      <c r="G629" s="52"/>
      <c r="H629" s="52"/>
      <c r="I629" s="52"/>
    </row>
    <row r="630">
      <c r="A630" s="33"/>
      <c r="F630" s="51"/>
      <c r="G630" s="52"/>
      <c r="H630" s="52"/>
      <c r="I630" s="52"/>
    </row>
    <row r="631">
      <c r="A631" s="33"/>
      <c r="F631" s="51"/>
      <c r="G631" s="52"/>
      <c r="H631" s="52"/>
      <c r="I631" s="52"/>
    </row>
    <row r="632">
      <c r="A632" s="33"/>
      <c r="F632" s="51"/>
      <c r="G632" s="52"/>
      <c r="H632" s="52"/>
      <c r="I632" s="52"/>
    </row>
    <row r="633">
      <c r="A633" s="33"/>
      <c r="F633" s="51"/>
      <c r="G633" s="52"/>
      <c r="H633" s="52"/>
      <c r="I633" s="52"/>
    </row>
    <row r="634">
      <c r="A634" s="33"/>
      <c r="F634" s="51"/>
      <c r="G634" s="52"/>
      <c r="H634" s="52"/>
      <c r="I634" s="52"/>
    </row>
    <row r="635">
      <c r="A635" s="33"/>
      <c r="F635" s="51"/>
      <c r="G635" s="52"/>
      <c r="H635" s="52"/>
      <c r="I635" s="52"/>
    </row>
    <row r="636">
      <c r="A636" s="33"/>
      <c r="F636" s="51"/>
      <c r="G636" s="52"/>
      <c r="H636" s="52"/>
      <c r="I636" s="52"/>
    </row>
    <row r="637">
      <c r="A637" s="33"/>
      <c r="F637" s="51"/>
      <c r="G637" s="52"/>
      <c r="H637" s="52"/>
      <c r="I637" s="52"/>
    </row>
    <row r="638">
      <c r="A638" s="33"/>
      <c r="F638" s="51"/>
      <c r="G638" s="52"/>
      <c r="H638" s="52"/>
      <c r="I638" s="52"/>
    </row>
    <row r="639">
      <c r="A639" s="33"/>
      <c r="F639" s="51"/>
      <c r="G639" s="52"/>
      <c r="H639" s="52"/>
      <c r="I639" s="52"/>
    </row>
    <row r="640">
      <c r="A640" s="33"/>
      <c r="F640" s="51"/>
      <c r="G640" s="52"/>
      <c r="H640" s="52"/>
      <c r="I640" s="52"/>
    </row>
    <row r="641">
      <c r="A641" s="33"/>
      <c r="F641" s="51"/>
      <c r="G641" s="52"/>
      <c r="H641" s="52"/>
      <c r="I641" s="52"/>
    </row>
    <row r="642">
      <c r="A642" s="33"/>
      <c r="F642" s="51"/>
      <c r="G642" s="52"/>
      <c r="H642" s="52"/>
      <c r="I642" s="52"/>
    </row>
    <row r="643">
      <c r="A643" s="33"/>
      <c r="F643" s="51"/>
      <c r="G643" s="52"/>
      <c r="H643" s="52"/>
      <c r="I643" s="52"/>
    </row>
    <row r="644">
      <c r="A644" s="33"/>
      <c r="F644" s="51"/>
      <c r="G644" s="52"/>
      <c r="H644" s="52"/>
      <c r="I644" s="52"/>
    </row>
    <row r="645">
      <c r="A645" s="33"/>
      <c r="F645" s="51"/>
      <c r="G645" s="52"/>
      <c r="H645" s="52"/>
      <c r="I645" s="52"/>
    </row>
    <row r="646">
      <c r="A646" s="33"/>
      <c r="F646" s="51"/>
      <c r="G646" s="52"/>
      <c r="H646" s="52"/>
      <c r="I646" s="52"/>
    </row>
    <row r="647">
      <c r="A647" s="33"/>
      <c r="F647" s="51"/>
      <c r="G647" s="52"/>
      <c r="H647" s="52"/>
      <c r="I647" s="52"/>
    </row>
    <row r="648">
      <c r="A648" s="33"/>
      <c r="F648" s="51"/>
      <c r="G648" s="52"/>
      <c r="H648" s="52"/>
      <c r="I648" s="52"/>
    </row>
    <row r="649">
      <c r="A649" s="33"/>
      <c r="F649" s="51"/>
      <c r="G649" s="52"/>
      <c r="H649" s="52"/>
      <c r="I649" s="52"/>
    </row>
    <row r="650">
      <c r="A650" s="33"/>
      <c r="F650" s="51"/>
      <c r="G650" s="52"/>
      <c r="H650" s="52"/>
      <c r="I650" s="52"/>
    </row>
    <row r="651">
      <c r="A651" s="33"/>
      <c r="F651" s="51"/>
      <c r="G651" s="52"/>
      <c r="H651" s="52"/>
      <c r="I651" s="52"/>
    </row>
    <row r="652">
      <c r="A652" s="33"/>
      <c r="F652" s="51"/>
      <c r="G652" s="52"/>
      <c r="H652" s="52"/>
      <c r="I652" s="52"/>
    </row>
    <row r="653">
      <c r="A653" s="33"/>
      <c r="F653" s="51"/>
      <c r="G653" s="52"/>
      <c r="H653" s="52"/>
      <c r="I653" s="52"/>
    </row>
    <row r="654">
      <c r="A654" s="33"/>
      <c r="F654" s="51"/>
      <c r="G654" s="52"/>
      <c r="H654" s="52"/>
      <c r="I654" s="52"/>
    </row>
    <row r="655">
      <c r="A655" s="33"/>
      <c r="F655" s="51"/>
      <c r="G655" s="52"/>
      <c r="H655" s="52"/>
      <c r="I655" s="52"/>
    </row>
    <row r="656">
      <c r="A656" s="33"/>
      <c r="F656" s="51"/>
      <c r="G656" s="52"/>
      <c r="H656" s="52"/>
      <c r="I656" s="52"/>
    </row>
    <row r="657">
      <c r="A657" s="33"/>
      <c r="F657" s="51"/>
      <c r="G657" s="52"/>
      <c r="H657" s="52"/>
      <c r="I657" s="52"/>
    </row>
    <row r="658">
      <c r="A658" s="33"/>
      <c r="F658" s="51"/>
      <c r="G658" s="52"/>
      <c r="H658" s="52"/>
      <c r="I658" s="52"/>
    </row>
    <row r="659">
      <c r="A659" s="33"/>
      <c r="F659" s="51"/>
      <c r="G659" s="52"/>
      <c r="H659" s="52"/>
      <c r="I659" s="52"/>
    </row>
    <row r="660">
      <c r="A660" s="33"/>
      <c r="F660" s="51"/>
      <c r="G660" s="52"/>
      <c r="H660" s="52"/>
      <c r="I660" s="52"/>
    </row>
    <row r="661">
      <c r="A661" s="33"/>
      <c r="F661" s="51"/>
      <c r="G661" s="52"/>
      <c r="H661" s="52"/>
      <c r="I661" s="52"/>
    </row>
    <row r="662">
      <c r="A662" s="33"/>
      <c r="F662" s="51"/>
      <c r="G662" s="52"/>
      <c r="H662" s="52"/>
      <c r="I662" s="52"/>
    </row>
    <row r="663">
      <c r="A663" s="33"/>
      <c r="F663" s="51"/>
      <c r="G663" s="52"/>
      <c r="H663" s="52"/>
      <c r="I663" s="52"/>
    </row>
    <row r="664">
      <c r="A664" s="33"/>
      <c r="F664" s="51"/>
      <c r="G664" s="52"/>
      <c r="H664" s="52"/>
      <c r="I664" s="52"/>
    </row>
    <row r="665">
      <c r="A665" s="33"/>
      <c r="F665" s="51"/>
      <c r="G665" s="52"/>
      <c r="H665" s="52"/>
      <c r="I665" s="52"/>
    </row>
    <row r="666">
      <c r="A666" s="33"/>
      <c r="F666" s="51"/>
      <c r="G666" s="52"/>
      <c r="H666" s="52"/>
      <c r="I666" s="52"/>
    </row>
    <row r="667">
      <c r="A667" s="33"/>
      <c r="F667" s="51"/>
      <c r="G667" s="52"/>
      <c r="H667" s="52"/>
      <c r="I667" s="52"/>
    </row>
    <row r="668">
      <c r="A668" s="33"/>
      <c r="F668" s="51"/>
      <c r="G668" s="52"/>
      <c r="H668" s="52"/>
      <c r="I668" s="52"/>
    </row>
    <row r="669">
      <c r="A669" s="33"/>
      <c r="F669" s="51"/>
      <c r="G669" s="52"/>
      <c r="H669" s="52"/>
      <c r="I669" s="52"/>
    </row>
    <row r="670">
      <c r="A670" s="33"/>
      <c r="F670" s="51"/>
      <c r="G670" s="52"/>
      <c r="H670" s="52"/>
      <c r="I670" s="52"/>
    </row>
    <row r="671">
      <c r="A671" s="33"/>
      <c r="F671" s="51"/>
      <c r="G671" s="52"/>
      <c r="H671" s="52"/>
      <c r="I671" s="52"/>
    </row>
    <row r="672">
      <c r="A672" s="33"/>
      <c r="F672" s="51"/>
      <c r="G672" s="52"/>
      <c r="H672" s="52"/>
      <c r="I672" s="52"/>
    </row>
    <row r="673">
      <c r="A673" s="33"/>
      <c r="F673" s="51"/>
      <c r="G673" s="52"/>
      <c r="H673" s="52"/>
      <c r="I673" s="52"/>
    </row>
    <row r="674">
      <c r="A674" s="33"/>
      <c r="F674" s="51"/>
      <c r="G674" s="52"/>
      <c r="H674" s="52"/>
      <c r="I674" s="52"/>
    </row>
    <row r="675">
      <c r="A675" s="33"/>
      <c r="F675" s="51"/>
      <c r="G675" s="52"/>
      <c r="H675" s="52"/>
      <c r="I675" s="52"/>
    </row>
    <row r="676">
      <c r="A676" s="33"/>
      <c r="F676" s="51"/>
      <c r="G676" s="52"/>
      <c r="H676" s="52"/>
      <c r="I676" s="52"/>
    </row>
    <row r="677">
      <c r="A677" s="33"/>
      <c r="F677" s="51"/>
      <c r="G677" s="52"/>
      <c r="H677" s="52"/>
      <c r="I677" s="52"/>
    </row>
    <row r="678">
      <c r="A678" s="33"/>
      <c r="F678" s="51"/>
      <c r="G678" s="52"/>
      <c r="H678" s="52"/>
      <c r="I678" s="52"/>
    </row>
    <row r="679">
      <c r="A679" s="33"/>
      <c r="F679" s="51"/>
      <c r="G679" s="52"/>
      <c r="H679" s="52"/>
      <c r="I679" s="52"/>
    </row>
    <row r="680">
      <c r="A680" s="33"/>
      <c r="F680" s="51"/>
      <c r="G680" s="52"/>
      <c r="H680" s="52"/>
      <c r="I680" s="52"/>
    </row>
    <row r="681">
      <c r="A681" s="33"/>
      <c r="F681" s="51"/>
      <c r="G681" s="52"/>
      <c r="H681" s="52"/>
      <c r="I681" s="52"/>
    </row>
    <row r="682">
      <c r="A682" s="33"/>
      <c r="F682" s="51"/>
      <c r="G682" s="52"/>
      <c r="H682" s="52"/>
      <c r="I682" s="52"/>
    </row>
    <row r="683">
      <c r="A683" s="33"/>
      <c r="F683" s="51"/>
      <c r="G683" s="52"/>
      <c r="H683" s="52"/>
      <c r="I683" s="52"/>
    </row>
    <row r="684">
      <c r="A684" s="33"/>
      <c r="F684" s="51"/>
      <c r="G684" s="52"/>
      <c r="H684" s="52"/>
      <c r="I684" s="52"/>
    </row>
    <row r="685">
      <c r="A685" s="33"/>
      <c r="F685" s="51"/>
      <c r="G685" s="52"/>
      <c r="H685" s="52"/>
      <c r="I685" s="52"/>
    </row>
    <row r="686">
      <c r="A686" s="33"/>
      <c r="F686" s="51"/>
      <c r="G686" s="52"/>
      <c r="H686" s="52"/>
      <c r="I686" s="52"/>
    </row>
    <row r="687">
      <c r="A687" s="33"/>
      <c r="F687" s="51"/>
      <c r="G687" s="52"/>
      <c r="H687" s="52"/>
      <c r="I687" s="52"/>
    </row>
    <row r="688">
      <c r="A688" s="33"/>
      <c r="F688" s="51"/>
      <c r="G688" s="52"/>
      <c r="H688" s="52"/>
      <c r="I688" s="52"/>
    </row>
    <row r="689">
      <c r="A689" s="33"/>
      <c r="F689" s="51"/>
      <c r="G689" s="52"/>
      <c r="H689" s="52"/>
      <c r="I689" s="52"/>
    </row>
    <row r="690">
      <c r="A690" s="33"/>
      <c r="F690" s="51"/>
      <c r="G690" s="52"/>
      <c r="H690" s="52"/>
      <c r="I690" s="52"/>
    </row>
    <row r="691">
      <c r="A691" s="33"/>
      <c r="F691" s="51"/>
      <c r="G691" s="52"/>
      <c r="H691" s="52"/>
      <c r="I691" s="52"/>
    </row>
    <row r="692">
      <c r="A692" s="33"/>
      <c r="F692" s="51"/>
      <c r="G692" s="52"/>
      <c r="H692" s="52"/>
      <c r="I692" s="52"/>
    </row>
    <row r="693">
      <c r="A693" s="33"/>
      <c r="F693" s="51"/>
      <c r="G693" s="52"/>
      <c r="H693" s="52"/>
      <c r="I693" s="52"/>
    </row>
    <row r="694">
      <c r="A694" s="33"/>
      <c r="F694" s="51"/>
      <c r="G694" s="52"/>
      <c r="H694" s="52"/>
      <c r="I694" s="52"/>
    </row>
    <row r="695">
      <c r="A695" s="33"/>
      <c r="F695" s="51"/>
      <c r="G695" s="52"/>
      <c r="H695" s="52"/>
      <c r="I695" s="52"/>
    </row>
    <row r="696">
      <c r="A696" s="33"/>
      <c r="F696" s="51"/>
      <c r="G696" s="52"/>
      <c r="H696" s="52"/>
      <c r="I696" s="52"/>
    </row>
    <row r="697">
      <c r="A697" s="33"/>
      <c r="F697" s="51"/>
      <c r="G697" s="52"/>
      <c r="H697" s="52"/>
      <c r="I697" s="52"/>
    </row>
    <row r="698">
      <c r="A698" s="33"/>
      <c r="F698" s="51"/>
      <c r="G698" s="52"/>
      <c r="H698" s="52"/>
      <c r="I698" s="52"/>
    </row>
    <row r="699">
      <c r="A699" s="33"/>
      <c r="F699" s="51"/>
      <c r="G699" s="52"/>
      <c r="H699" s="52"/>
      <c r="I699" s="52"/>
    </row>
    <row r="700">
      <c r="A700" s="33"/>
      <c r="F700" s="51"/>
      <c r="G700" s="52"/>
      <c r="H700" s="52"/>
      <c r="I700" s="52"/>
    </row>
    <row r="701">
      <c r="A701" s="33"/>
      <c r="F701" s="51"/>
      <c r="G701" s="52"/>
      <c r="H701" s="52"/>
      <c r="I701" s="52"/>
    </row>
    <row r="702">
      <c r="A702" s="33"/>
      <c r="F702" s="51"/>
      <c r="G702" s="52"/>
      <c r="H702" s="52"/>
      <c r="I702" s="52"/>
    </row>
    <row r="703">
      <c r="A703" s="33"/>
      <c r="F703" s="51"/>
      <c r="G703" s="52"/>
      <c r="H703" s="52"/>
      <c r="I703" s="52"/>
    </row>
    <row r="704">
      <c r="A704" s="33"/>
      <c r="F704" s="51"/>
      <c r="G704" s="52"/>
      <c r="H704" s="52"/>
      <c r="I704" s="52"/>
    </row>
    <row r="705">
      <c r="A705" s="33"/>
      <c r="F705" s="51"/>
      <c r="G705" s="52"/>
      <c r="H705" s="52"/>
      <c r="I705" s="52"/>
    </row>
    <row r="706">
      <c r="A706" s="33"/>
      <c r="F706" s="51"/>
      <c r="G706" s="52"/>
      <c r="H706" s="52"/>
      <c r="I706" s="52"/>
    </row>
    <row r="707">
      <c r="A707" s="33"/>
      <c r="F707" s="51"/>
      <c r="G707" s="52"/>
      <c r="H707" s="52"/>
      <c r="I707" s="52"/>
    </row>
    <row r="708">
      <c r="A708" s="33"/>
      <c r="F708" s="51"/>
      <c r="G708" s="52"/>
      <c r="H708" s="52"/>
      <c r="I708" s="52"/>
    </row>
    <row r="709">
      <c r="A709" s="33"/>
      <c r="F709" s="51"/>
      <c r="G709" s="52"/>
      <c r="H709" s="52"/>
      <c r="I709" s="52"/>
    </row>
    <row r="710">
      <c r="A710" s="33"/>
      <c r="F710" s="51"/>
      <c r="G710" s="52"/>
      <c r="H710" s="52"/>
      <c r="I710" s="52"/>
    </row>
    <row r="711">
      <c r="A711" s="33"/>
      <c r="F711" s="51"/>
      <c r="G711" s="52"/>
      <c r="H711" s="52"/>
      <c r="I711" s="52"/>
    </row>
    <row r="712">
      <c r="A712" s="33"/>
      <c r="F712" s="51"/>
      <c r="G712" s="52"/>
      <c r="H712" s="52"/>
      <c r="I712" s="52"/>
    </row>
    <row r="713">
      <c r="A713" s="33"/>
      <c r="F713" s="51"/>
      <c r="G713" s="52"/>
      <c r="H713" s="52"/>
      <c r="I713" s="52"/>
    </row>
    <row r="714">
      <c r="A714" s="33"/>
      <c r="F714" s="51"/>
      <c r="G714" s="52"/>
      <c r="H714" s="52"/>
      <c r="I714" s="52"/>
    </row>
    <row r="715">
      <c r="A715" s="33"/>
      <c r="F715" s="51"/>
      <c r="G715" s="52"/>
      <c r="H715" s="52"/>
      <c r="I715" s="52"/>
    </row>
    <row r="716">
      <c r="A716" s="33"/>
      <c r="F716" s="51"/>
      <c r="G716" s="52"/>
      <c r="H716" s="52"/>
      <c r="I716" s="52"/>
    </row>
    <row r="717">
      <c r="A717" s="33"/>
      <c r="F717" s="51"/>
      <c r="G717" s="52"/>
      <c r="H717" s="52"/>
      <c r="I717" s="52"/>
    </row>
    <row r="718">
      <c r="A718" s="33"/>
      <c r="F718" s="51"/>
      <c r="G718" s="52"/>
      <c r="H718" s="52"/>
      <c r="I718" s="52"/>
    </row>
    <row r="719">
      <c r="A719" s="33"/>
      <c r="F719" s="51"/>
      <c r="G719" s="52"/>
      <c r="H719" s="52"/>
      <c r="I719" s="52"/>
    </row>
    <row r="720">
      <c r="A720" s="33"/>
      <c r="F720" s="51"/>
      <c r="G720" s="52"/>
      <c r="H720" s="52"/>
      <c r="I720" s="52"/>
    </row>
    <row r="721">
      <c r="A721" s="33"/>
      <c r="F721" s="51"/>
      <c r="G721" s="52"/>
      <c r="H721" s="52"/>
      <c r="I721" s="52"/>
    </row>
    <row r="722">
      <c r="A722" s="33"/>
      <c r="F722" s="51"/>
      <c r="G722" s="52"/>
      <c r="H722" s="52"/>
      <c r="I722" s="52"/>
    </row>
    <row r="723">
      <c r="A723" s="33"/>
      <c r="F723" s="51"/>
      <c r="G723" s="52"/>
      <c r="H723" s="52"/>
      <c r="I723" s="52"/>
    </row>
    <row r="724">
      <c r="A724" s="33"/>
      <c r="F724" s="51"/>
      <c r="G724" s="52"/>
      <c r="H724" s="52"/>
      <c r="I724" s="52"/>
    </row>
    <row r="725">
      <c r="A725" s="33"/>
      <c r="F725" s="51"/>
      <c r="G725" s="52"/>
      <c r="H725" s="52"/>
      <c r="I725" s="52"/>
    </row>
    <row r="726">
      <c r="A726" s="33"/>
      <c r="F726" s="51"/>
      <c r="G726" s="52"/>
      <c r="H726" s="52"/>
      <c r="I726" s="52"/>
    </row>
    <row r="727">
      <c r="A727" s="33"/>
      <c r="F727" s="51"/>
      <c r="G727" s="52"/>
      <c r="H727" s="52"/>
      <c r="I727" s="52"/>
    </row>
    <row r="728">
      <c r="A728" s="33"/>
      <c r="F728" s="51"/>
      <c r="G728" s="52"/>
      <c r="H728" s="52"/>
      <c r="I728" s="52"/>
    </row>
    <row r="729">
      <c r="A729" s="33"/>
      <c r="F729" s="51"/>
      <c r="G729" s="52"/>
      <c r="H729" s="52"/>
      <c r="I729" s="52"/>
    </row>
    <row r="730">
      <c r="A730" s="33"/>
      <c r="F730" s="51"/>
      <c r="G730" s="52"/>
      <c r="H730" s="52"/>
      <c r="I730" s="52"/>
    </row>
    <row r="731">
      <c r="A731" s="33"/>
      <c r="F731" s="51"/>
      <c r="G731" s="52"/>
      <c r="H731" s="52"/>
      <c r="I731" s="52"/>
    </row>
    <row r="732">
      <c r="A732" s="33"/>
      <c r="F732" s="51"/>
      <c r="G732" s="52"/>
      <c r="H732" s="52"/>
      <c r="I732" s="52"/>
    </row>
    <row r="733">
      <c r="A733" s="33"/>
      <c r="F733" s="51"/>
      <c r="G733" s="52"/>
      <c r="H733" s="52"/>
      <c r="I733" s="52"/>
    </row>
    <row r="734">
      <c r="A734" s="33"/>
      <c r="F734" s="51"/>
      <c r="G734" s="52"/>
      <c r="H734" s="52"/>
      <c r="I734" s="52"/>
    </row>
    <row r="735">
      <c r="A735" s="33"/>
      <c r="F735" s="51"/>
      <c r="G735" s="52"/>
      <c r="H735" s="52"/>
      <c r="I735" s="52"/>
    </row>
    <row r="736">
      <c r="A736" s="33"/>
      <c r="F736" s="51"/>
      <c r="G736" s="52"/>
      <c r="H736" s="52"/>
      <c r="I736" s="52"/>
    </row>
    <row r="737">
      <c r="A737" s="33"/>
      <c r="F737" s="51"/>
      <c r="G737" s="52"/>
      <c r="H737" s="52"/>
      <c r="I737" s="52"/>
    </row>
    <row r="738">
      <c r="A738" s="33"/>
      <c r="F738" s="51"/>
      <c r="G738" s="52"/>
      <c r="H738" s="52"/>
      <c r="I738" s="52"/>
    </row>
    <row r="739">
      <c r="A739" s="33"/>
      <c r="F739" s="51"/>
      <c r="G739" s="52"/>
      <c r="H739" s="52"/>
      <c r="I739" s="52"/>
    </row>
    <row r="740">
      <c r="A740" s="33"/>
      <c r="F740" s="51"/>
      <c r="G740" s="52"/>
      <c r="H740" s="52"/>
      <c r="I740" s="52"/>
    </row>
    <row r="741">
      <c r="A741" s="33"/>
      <c r="F741" s="51"/>
      <c r="G741" s="52"/>
      <c r="H741" s="52"/>
      <c r="I741" s="52"/>
    </row>
    <row r="742">
      <c r="A742" s="33"/>
      <c r="F742" s="51"/>
      <c r="G742" s="52"/>
      <c r="H742" s="52"/>
      <c r="I742" s="52"/>
    </row>
    <row r="743">
      <c r="A743" s="33"/>
      <c r="F743" s="51"/>
      <c r="G743" s="52"/>
      <c r="H743" s="52"/>
      <c r="I743" s="52"/>
    </row>
    <row r="744">
      <c r="A744" s="33"/>
      <c r="F744" s="51"/>
      <c r="G744" s="52"/>
      <c r="H744" s="52"/>
      <c r="I744" s="52"/>
    </row>
    <row r="745">
      <c r="A745" s="33"/>
      <c r="F745" s="51"/>
      <c r="G745" s="52"/>
      <c r="H745" s="52"/>
      <c r="I745" s="52"/>
    </row>
    <row r="746">
      <c r="A746" s="33"/>
      <c r="F746" s="51"/>
      <c r="G746" s="52"/>
      <c r="H746" s="52"/>
      <c r="I746" s="52"/>
    </row>
    <row r="747">
      <c r="A747" s="33"/>
      <c r="F747" s="51"/>
      <c r="G747" s="52"/>
      <c r="H747" s="52"/>
      <c r="I747" s="52"/>
    </row>
    <row r="748">
      <c r="A748" s="33"/>
      <c r="F748" s="51"/>
      <c r="G748" s="52"/>
      <c r="H748" s="52"/>
      <c r="I748" s="52"/>
    </row>
    <row r="749">
      <c r="A749" s="33"/>
      <c r="F749" s="51"/>
      <c r="G749" s="52"/>
      <c r="H749" s="52"/>
      <c r="I749" s="52"/>
    </row>
    <row r="750">
      <c r="A750" s="33"/>
      <c r="F750" s="51"/>
      <c r="G750" s="52"/>
      <c r="H750" s="52"/>
      <c r="I750" s="52"/>
    </row>
    <row r="751">
      <c r="A751" s="33"/>
      <c r="F751" s="51"/>
      <c r="G751" s="52"/>
      <c r="H751" s="52"/>
      <c r="I751" s="52"/>
    </row>
    <row r="752">
      <c r="A752" s="33"/>
      <c r="F752" s="51"/>
      <c r="G752" s="52"/>
      <c r="H752" s="52"/>
      <c r="I752" s="52"/>
    </row>
    <row r="753">
      <c r="A753" s="33"/>
      <c r="F753" s="51"/>
      <c r="G753" s="52"/>
      <c r="H753" s="52"/>
      <c r="I753" s="52"/>
    </row>
    <row r="754">
      <c r="A754" s="33"/>
      <c r="F754" s="51"/>
      <c r="G754" s="52"/>
      <c r="H754" s="52"/>
      <c r="I754" s="52"/>
    </row>
    <row r="755">
      <c r="A755" s="33"/>
      <c r="F755" s="51"/>
      <c r="G755" s="52"/>
      <c r="H755" s="52"/>
      <c r="I755" s="52"/>
    </row>
    <row r="756">
      <c r="A756" s="33"/>
      <c r="F756" s="51"/>
      <c r="G756" s="52"/>
      <c r="H756" s="52"/>
      <c r="I756" s="52"/>
    </row>
    <row r="757">
      <c r="A757" s="33"/>
      <c r="F757" s="51"/>
      <c r="G757" s="52"/>
      <c r="H757" s="52"/>
      <c r="I757" s="52"/>
    </row>
    <row r="758">
      <c r="A758" s="33"/>
      <c r="F758" s="51"/>
      <c r="G758" s="52"/>
      <c r="H758" s="52"/>
      <c r="I758" s="52"/>
    </row>
    <row r="759">
      <c r="A759" s="33"/>
      <c r="F759" s="51"/>
      <c r="G759" s="52"/>
      <c r="H759" s="52"/>
      <c r="I759" s="52"/>
    </row>
    <row r="760">
      <c r="A760" s="33"/>
      <c r="F760" s="51"/>
      <c r="G760" s="52"/>
      <c r="H760" s="52"/>
      <c r="I760" s="52"/>
    </row>
    <row r="761">
      <c r="A761" s="33"/>
      <c r="F761" s="51"/>
      <c r="G761" s="52"/>
      <c r="H761" s="52"/>
      <c r="I761" s="52"/>
    </row>
    <row r="762">
      <c r="A762" s="33"/>
      <c r="F762" s="51"/>
      <c r="G762" s="52"/>
      <c r="H762" s="52"/>
      <c r="I762" s="52"/>
    </row>
    <row r="763">
      <c r="A763" s="33"/>
      <c r="F763" s="51"/>
      <c r="G763" s="52"/>
      <c r="H763" s="52"/>
      <c r="I763" s="52"/>
    </row>
    <row r="764">
      <c r="A764" s="33"/>
      <c r="F764" s="51"/>
      <c r="G764" s="52"/>
      <c r="H764" s="52"/>
      <c r="I764" s="52"/>
    </row>
    <row r="765">
      <c r="A765" s="33"/>
      <c r="F765" s="51"/>
      <c r="G765" s="52"/>
      <c r="H765" s="52"/>
      <c r="I765" s="52"/>
    </row>
    <row r="766">
      <c r="A766" s="33"/>
      <c r="F766" s="51"/>
      <c r="G766" s="52"/>
      <c r="H766" s="52"/>
      <c r="I766" s="52"/>
    </row>
    <row r="767">
      <c r="A767" s="33"/>
      <c r="F767" s="51"/>
      <c r="G767" s="52"/>
      <c r="H767" s="52"/>
      <c r="I767" s="52"/>
    </row>
    <row r="768">
      <c r="A768" s="33"/>
      <c r="F768" s="51"/>
      <c r="G768" s="52"/>
      <c r="H768" s="52"/>
      <c r="I768" s="52"/>
    </row>
    <row r="769">
      <c r="A769" s="33"/>
      <c r="F769" s="51"/>
      <c r="G769" s="52"/>
      <c r="H769" s="52"/>
      <c r="I769" s="52"/>
    </row>
    <row r="770">
      <c r="A770" s="33"/>
      <c r="F770" s="51"/>
      <c r="G770" s="52"/>
      <c r="H770" s="52"/>
      <c r="I770" s="52"/>
    </row>
    <row r="771">
      <c r="A771" s="33"/>
      <c r="F771" s="51"/>
      <c r="G771" s="52"/>
      <c r="H771" s="52"/>
      <c r="I771" s="52"/>
    </row>
    <row r="772">
      <c r="A772" s="33"/>
      <c r="F772" s="51"/>
      <c r="G772" s="52"/>
      <c r="H772" s="52"/>
      <c r="I772" s="52"/>
    </row>
    <row r="773">
      <c r="A773" s="33"/>
      <c r="F773" s="51"/>
      <c r="G773" s="52"/>
      <c r="H773" s="52"/>
      <c r="I773" s="52"/>
    </row>
    <row r="774">
      <c r="A774" s="33"/>
      <c r="F774" s="51"/>
      <c r="G774" s="52"/>
      <c r="H774" s="52"/>
      <c r="I774" s="52"/>
    </row>
    <row r="775">
      <c r="A775" s="33"/>
      <c r="F775" s="51"/>
      <c r="G775" s="52"/>
      <c r="H775" s="52"/>
      <c r="I775" s="52"/>
    </row>
    <row r="776">
      <c r="A776" s="33"/>
      <c r="F776" s="51"/>
      <c r="G776" s="52"/>
      <c r="H776" s="52"/>
      <c r="I776" s="52"/>
    </row>
    <row r="777">
      <c r="A777" s="33"/>
      <c r="F777" s="51"/>
      <c r="G777" s="52"/>
      <c r="H777" s="52"/>
      <c r="I777" s="52"/>
    </row>
    <row r="778">
      <c r="A778" s="33"/>
      <c r="F778" s="51"/>
      <c r="G778" s="52"/>
      <c r="H778" s="52"/>
      <c r="I778" s="52"/>
    </row>
    <row r="779">
      <c r="A779" s="33"/>
      <c r="F779" s="51"/>
      <c r="G779" s="52"/>
      <c r="H779" s="52"/>
      <c r="I779" s="52"/>
    </row>
    <row r="780">
      <c r="A780" s="33"/>
      <c r="F780" s="51"/>
      <c r="G780" s="52"/>
      <c r="H780" s="52"/>
      <c r="I780" s="52"/>
    </row>
    <row r="781">
      <c r="A781" s="33"/>
      <c r="F781" s="51"/>
      <c r="G781" s="52"/>
      <c r="H781" s="52"/>
      <c r="I781" s="52"/>
    </row>
    <row r="782">
      <c r="A782" s="33"/>
      <c r="F782" s="51"/>
      <c r="G782" s="52"/>
      <c r="H782" s="52"/>
      <c r="I782" s="52"/>
    </row>
    <row r="783">
      <c r="A783" s="33"/>
      <c r="F783" s="51"/>
      <c r="G783" s="52"/>
      <c r="H783" s="52"/>
      <c r="I783" s="52"/>
    </row>
    <row r="784">
      <c r="A784" s="33"/>
      <c r="F784" s="51"/>
      <c r="G784" s="52"/>
      <c r="H784" s="52"/>
      <c r="I784" s="52"/>
    </row>
    <row r="785">
      <c r="A785" s="33"/>
      <c r="F785" s="51"/>
      <c r="G785" s="52"/>
      <c r="H785" s="52"/>
      <c r="I785" s="52"/>
    </row>
    <row r="786">
      <c r="A786" s="33"/>
      <c r="F786" s="51"/>
      <c r="G786" s="52"/>
      <c r="H786" s="52"/>
      <c r="I786" s="52"/>
    </row>
    <row r="787">
      <c r="A787" s="33"/>
      <c r="F787" s="51"/>
      <c r="G787" s="52"/>
      <c r="H787" s="52"/>
      <c r="I787" s="52"/>
    </row>
    <row r="788">
      <c r="A788" s="33"/>
      <c r="F788" s="51"/>
      <c r="G788" s="52"/>
      <c r="H788" s="52"/>
      <c r="I788" s="52"/>
    </row>
    <row r="789">
      <c r="A789" s="33"/>
      <c r="F789" s="51"/>
      <c r="G789" s="52"/>
      <c r="H789" s="52"/>
      <c r="I789" s="52"/>
    </row>
    <row r="790">
      <c r="A790" s="33"/>
      <c r="F790" s="51"/>
      <c r="G790" s="52"/>
      <c r="H790" s="52"/>
      <c r="I790" s="52"/>
    </row>
    <row r="791">
      <c r="A791" s="33"/>
      <c r="F791" s="51"/>
      <c r="G791" s="52"/>
      <c r="H791" s="52"/>
      <c r="I791" s="52"/>
    </row>
    <row r="792">
      <c r="A792" s="33"/>
      <c r="F792" s="51"/>
      <c r="G792" s="52"/>
      <c r="H792" s="52"/>
      <c r="I792" s="52"/>
    </row>
    <row r="793">
      <c r="A793" s="33"/>
      <c r="F793" s="51"/>
      <c r="G793" s="52"/>
      <c r="H793" s="52"/>
      <c r="I793" s="52"/>
    </row>
    <row r="794">
      <c r="A794" s="33"/>
      <c r="F794" s="51"/>
      <c r="G794" s="52"/>
      <c r="H794" s="52"/>
      <c r="I794" s="52"/>
    </row>
    <row r="795">
      <c r="A795" s="33"/>
      <c r="F795" s="51"/>
      <c r="G795" s="52"/>
      <c r="H795" s="52"/>
      <c r="I795" s="52"/>
    </row>
    <row r="796">
      <c r="A796" s="33"/>
      <c r="F796" s="51"/>
      <c r="G796" s="52"/>
      <c r="H796" s="52"/>
      <c r="I796" s="52"/>
    </row>
    <row r="797">
      <c r="A797" s="33"/>
      <c r="F797" s="51"/>
      <c r="G797" s="52"/>
      <c r="H797" s="52"/>
      <c r="I797" s="52"/>
    </row>
    <row r="798">
      <c r="A798" s="33"/>
      <c r="F798" s="51"/>
      <c r="G798" s="52"/>
      <c r="H798" s="52"/>
      <c r="I798" s="52"/>
    </row>
    <row r="799">
      <c r="A799" s="33"/>
      <c r="F799" s="51"/>
      <c r="G799" s="52"/>
      <c r="H799" s="52"/>
      <c r="I799" s="52"/>
    </row>
    <row r="800">
      <c r="A800" s="33"/>
      <c r="F800" s="51"/>
      <c r="G800" s="52"/>
      <c r="H800" s="52"/>
      <c r="I800" s="52"/>
    </row>
    <row r="801">
      <c r="A801" s="33"/>
      <c r="F801" s="51"/>
      <c r="G801" s="52"/>
      <c r="H801" s="52"/>
      <c r="I801" s="52"/>
    </row>
    <row r="802">
      <c r="A802" s="33"/>
      <c r="F802" s="51"/>
      <c r="G802" s="52"/>
      <c r="H802" s="52"/>
      <c r="I802" s="52"/>
    </row>
    <row r="803">
      <c r="A803" s="33"/>
      <c r="F803" s="51"/>
      <c r="G803" s="52"/>
      <c r="H803" s="52"/>
      <c r="I803" s="52"/>
    </row>
    <row r="804">
      <c r="A804" s="33"/>
      <c r="F804" s="51"/>
      <c r="G804" s="52"/>
      <c r="H804" s="52"/>
      <c r="I804" s="52"/>
    </row>
    <row r="805">
      <c r="A805" s="33"/>
      <c r="F805" s="51"/>
      <c r="G805" s="52"/>
      <c r="H805" s="52"/>
      <c r="I805" s="52"/>
    </row>
    <row r="806">
      <c r="A806" s="33"/>
      <c r="F806" s="51"/>
      <c r="G806" s="52"/>
      <c r="H806" s="52"/>
      <c r="I806" s="52"/>
    </row>
    <row r="807">
      <c r="A807" s="33"/>
      <c r="F807" s="51"/>
      <c r="G807" s="52"/>
      <c r="H807" s="52"/>
      <c r="I807" s="52"/>
    </row>
    <row r="808">
      <c r="A808" s="33"/>
      <c r="F808" s="51"/>
      <c r="G808" s="52"/>
      <c r="H808" s="52"/>
      <c r="I808" s="52"/>
    </row>
    <row r="809">
      <c r="A809" s="33"/>
      <c r="F809" s="51"/>
      <c r="G809" s="52"/>
      <c r="H809" s="52"/>
      <c r="I809" s="52"/>
    </row>
    <row r="810">
      <c r="A810" s="33"/>
      <c r="F810" s="51"/>
      <c r="G810" s="52"/>
      <c r="H810" s="52"/>
      <c r="I810" s="52"/>
    </row>
    <row r="811">
      <c r="A811" s="33"/>
      <c r="F811" s="51"/>
      <c r="G811" s="52"/>
      <c r="H811" s="52"/>
      <c r="I811" s="52"/>
    </row>
    <row r="812">
      <c r="A812" s="33"/>
      <c r="F812" s="51"/>
      <c r="G812" s="52"/>
      <c r="H812" s="52"/>
      <c r="I812" s="52"/>
    </row>
    <row r="813">
      <c r="A813" s="33"/>
      <c r="F813" s="51"/>
      <c r="G813" s="52"/>
      <c r="H813" s="52"/>
      <c r="I813" s="52"/>
    </row>
    <row r="814">
      <c r="A814" s="33"/>
      <c r="F814" s="51"/>
      <c r="G814" s="52"/>
      <c r="H814" s="52"/>
      <c r="I814" s="52"/>
    </row>
    <row r="815">
      <c r="A815" s="33"/>
      <c r="F815" s="51"/>
      <c r="G815" s="52"/>
      <c r="H815" s="52"/>
      <c r="I815" s="52"/>
    </row>
    <row r="816">
      <c r="A816" s="33"/>
      <c r="F816" s="51"/>
      <c r="G816" s="52"/>
      <c r="H816" s="52"/>
      <c r="I816" s="52"/>
    </row>
    <row r="817">
      <c r="A817" s="33"/>
      <c r="F817" s="51"/>
      <c r="G817" s="52"/>
      <c r="H817" s="52"/>
      <c r="I817" s="52"/>
    </row>
    <row r="818">
      <c r="A818" s="33"/>
      <c r="F818" s="51"/>
      <c r="G818" s="52"/>
      <c r="H818" s="52"/>
      <c r="I818" s="52"/>
    </row>
    <row r="819">
      <c r="A819" s="33"/>
      <c r="F819" s="51"/>
      <c r="G819" s="52"/>
      <c r="H819" s="52"/>
      <c r="I819" s="52"/>
    </row>
    <row r="820">
      <c r="A820" s="33"/>
      <c r="F820" s="51"/>
      <c r="G820" s="52"/>
      <c r="H820" s="52"/>
      <c r="I820" s="52"/>
    </row>
    <row r="821">
      <c r="A821" s="33"/>
      <c r="F821" s="51"/>
      <c r="G821" s="52"/>
      <c r="H821" s="52"/>
      <c r="I821" s="52"/>
    </row>
    <row r="822">
      <c r="A822" s="33"/>
      <c r="F822" s="51"/>
      <c r="G822" s="52"/>
      <c r="H822" s="52"/>
      <c r="I822" s="52"/>
    </row>
    <row r="823">
      <c r="A823" s="33"/>
      <c r="F823" s="51"/>
      <c r="G823" s="52"/>
      <c r="H823" s="52"/>
      <c r="I823" s="52"/>
    </row>
    <row r="824">
      <c r="A824" s="33"/>
      <c r="F824" s="51"/>
      <c r="G824" s="52"/>
      <c r="H824" s="52"/>
      <c r="I824" s="52"/>
    </row>
    <row r="825">
      <c r="A825" s="33"/>
      <c r="F825" s="51"/>
      <c r="G825" s="52"/>
      <c r="H825" s="52"/>
      <c r="I825" s="52"/>
    </row>
    <row r="826">
      <c r="A826" s="33"/>
      <c r="F826" s="51"/>
      <c r="G826" s="52"/>
      <c r="H826" s="52"/>
      <c r="I826" s="52"/>
    </row>
    <row r="827">
      <c r="A827" s="33"/>
      <c r="F827" s="51"/>
      <c r="G827" s="52"/>
      <c r="H827" s="52"/>
      <c r="I827" s="52"/>
    </row>
    <row r="828">
      <c r="A828" s="33"/>
      <c r="F828" s="51"/>
      <c r="G828" s="52"/>
      <c r="H828" s="52"/>
      <c r="I828" s="52"/>
    </row>
    <row r="829">
      <c r="A829" s="33"/>
      <c r="F829" s="51"/>
      <c r="G829" s="52"/>
      <c r="H829" s="52"/>
      <c r="I829" s="52"/>
    </row>
    <row r="830">
      <c r="A830" s="33"/>
      <c r="F830" s="51"/>
      <c r="G830" s="52"/>
      <c r="H830" s="52"/>
      <c r="I830" s="52"/>
    </row>
    <row r="831">
      <c r="A831" s="33"/>
      <c r="F831" s="51"/>
      <c r="G831" s="52"/>
      <c r="H831" s="52"/>
      <c r="I831" s="52"/>
    </row>
    <row r="832">
      <c r="A832" s="33"/>
      <c r="F832" s="51"/>
      <c r="G832" s="52"/>
      <c r="H832" s="52"/>
      <c r="I832" s="52"/>
    </row>
    <row r="833">
      <c r="A833" s="33"/>
      <c r="F833" s="51"/>
      <c r="G833" s="52"/>
      <c r="H833" s="52"/>
      <c r="I833" s="52"/>
    </row>
    <row r="834">
      <c r="A834" s="33"/>
      <c r="F834" s="51"/>
      <c r="G834" s="52"/>
      <c r="H834" s="52"/>
      <c r="I834" s="52"/>
    </row>
    <row r="835">
      <c r="A835" s="33"/>
      <c r="F835" s="51"/>
      <c r="G835" s="52"/>
      <c r="H835" s="52"/>
      <c r="I835" s="52"/>
    </row>
    <row r="836">
      <c r="A836" s="33"/>
      <c r="F836" s="51"/>
      <c r="G836" s="52"/>
      <c r="H836" s="52"/>
      <c r="I836" s="52"/>
    </row>
    <row r="837">
      <c r="A837" s="33"/>
      <c r="F837" s="51"/>
      <c r="G837" s="52"/>
      <c r="H837" s="52"/>
      <c r="I837" s="52"/>
    </row>
    <row r="838">
      <c r="A838" s="33"/>
      <c r="F838" s="51"/>
      <c r="G838" s="52"/>
      <c r="H838" s="52"/>
      <c r="I838" s="52"/>
    </row>
    <row r="839">
      <c r="A839" s="33"/>
      <c r="F839" s="51"/>
      <c r="G839" s="52"/>
      <c r="H839" s="52"/>
      <c r="I839" s="52"/>
    </row>
    <row r="840">
      <c r="A840" s="33"/>
      <c r="F840" s="51"/>
      <c r="G840" s="52"/>
      <c r="H840" s="52"/>
      <c r="I840" s="52"/>
    </row>
    <row r="841">
      <c r="A841" s="33"/>
      <c r="F841" s="51"/>
      <c r="G841" s="52"/>
      <c r="H841" s="52"/>
      <c r="I841" s="52"/>
    </row>
    <row r="842">
      <c r="A842" s="33"/>
      <c r="F842" s="51"/>
      <c r="G842" s="52"/>
      <c r="H842" s="52"/>
      <c r="I842" s="52"/>
    </row>
    <row r="843">
      <c r="A843" s="33"/>
      <c r="F843" s="51"/>
      <c r="G843" s="52"/>
      <c r="H843" s="52"/>
      <c r="I843" s="52"/>
    </row>
    <row r="844">
      <c r="A844" s="33"/>
      <c r="F844" s="51"/>
      <c r="G844" s="52"/>
      <c r="H844" s="52"/>
      <c r="I844" s="52"/>
    </row>
    <row r="845">
      <c r="A845" s="33"/>
      <c r="F845" s="51"/>
      <c r="G845" s="52"/>
      <c r="H845" s="52"/>
      <c r="I845" s="52"/>
    </row>
    <row r="846">
      <c r="A846" s="33"/>
      <c r="F846" s="51"/>
      <c r="G846" s="52"/>
      <c r="H846" s="52"/>
      <c r="I846" s="52"/>
    </row>
    <row r="847">
      <c r="A847" s="33"/>
      <c r="F847" s="51"/>
      <c r="G847" s="52"/>
      <c r="H847" s="52"/>
      <c r="I847" s="52"/>
    </row>
    <row r="848">
      <c r="A848" s="33"/>
      <c r="F848" s="51"/>
      <c r="G848" s="52"/>
      <c r="H848" s="52"/>
      <c r="I848" s="52"/>
    </row>
    <row r="849">
      <c r="A849" s="33"/>
      <c r="F849" s="51"/>
      <c r="G849" s="52"/>
      <c r="H849" s="52"/>
      <c r="I849" s="52"/>
    </row>
    <row r="850">
      <c r="A850" s="33"/>
      <c r="F850" s="51"/>
      <c r="G850" s="52"/>
      <c r="H850" s="52"/>
      <c r="I850" s="52"/>
    </row>
    <row r="851">
      <c r="A851" s="33"/>
      <c r="F851" s="51"/>
      <c r="G851" s="52"/>
      <c r="H851" s="52"/>
      <c r="I851" s="52"/>
    </row>
    <row r="852">
      <c r="A852" s="33"/>
      <c r="F852" s="51"/>
      <c r="G852" s="52"/>
      <c r="H852" s="52"/>
      <c r="I852" s="52"/>
    </row>
    <row r="853">
      <c r="A853" s="33"/>
      <c r="F853" s="51"/>
      <c r="G853" s="52"/>
      <c r="H853" s="52"/>
      <c r="I853" s="52"/>
    </row>
    <row r="854">
      <c r="A854" s="33"/>
      <c r="F854" s="51"/>
      <c r="G854" s="52"/>
      <c r="H854" s="52"/>
      <c r="I854" s="52"/>
    </row>
    <row r="855">
      <c r="A855" s="33"/>
      <c r="F855" s="51"/>
      <c r="G855" s="52"/>
      <c r="H855" s="52"/>
      <c r="I855" s="52"/>
    </row>
    <row r="856">
      <c r="A856" s="33"/>
      <c r="F856" s="51"/>
      <c r="G856" s="52"/>
      <c r="H856" s="52"/>
      <c r="I856" s="52"/>
    </row>
    <row r="857">
      <c r="A857" s="33"/>
      <c r="F857" s="51"/>
      <c r="G857" s="52"/>
      <c r="H857" s="52"/>
      <c r="I857" s="52"/>
    </row>
    <row r="858">
      <c r="A858" s="33"/>
      <c r="F858" s="51"/>
      <c r="G858" s="52"/>
      <c r="H858" s="52"/>
      <c r="I858" s="52"/>
    </row>
    <row r="859">
      <c r="A859" s="33"/>
      <c r="F859" s="51"/>
      <c r="G859" s="52"/>
      <c r="H859" s="52"/>
      <c r="I859" s="52"/>
    </row>
    <row r="860">
      <c r="A860" s="33"/>
      <c r="F860" s="51"/>
      <c r="G860" s="52"/>
      <c r="H860" s="52"/>
      <c r="I860" s="52"/>
    </row>
    <row r="861">
      <c r="A861" s="33"/>
      <c r="F861" s="51"/>
      <c r="G861" s="52"/>
      <c r="H861" s="52"/>
      <c r="I861" s="52"/>
    </row>
    <row r="862">
      <c r="A862" s="33"/>
      <c r="F862" s="51"/>
      <c r="G862" s="52"/>
      <c r="H862" s="52"/>
      <c r="I862" s="52"/>
    </row>
    <row r="863">
      <c r="A863" s="33"/>
      <c r="F863" s="51"/>
      <c r="G863" s="52"/>
      <c r="H863" s="52"/>
      <c r="I863" s="52"/>
    </row>
    <row r="864">
      <c r="A864" s="33"/>
      <c r="F864" s="51"/>
      <c r="G864" s="52"/>
      <c r="H864" s="52"/>
      <c r="I864" s="52"/>
    </row>
    <row r="865">
      <c r="A865" s="33"/>
      <c r="F865" s="51"/>
      <c r="G865" s="52"/>
      <c r="H865" s="52"/>
      <c r="I865" s="52"/>
    </row>
    <row r="866">
      <c r="A866" s="33"/>
      <c r="F866" s="51"/>
      <c r="G866" s="52"/>
      <c r="H866" s="52"/>
      <c r="I866" s="52"/>
    </row>
    <row r="867">
      <c r="A867" s="33"/>
      <c r="F867" s="51"/>
      <c r="G867" s="52"/>
      <c r="H867" s="52"/>
      <c r="I867" s="52"/>
    </row>
    <row r="868">
      <c r="A868" s="33"/>
      <c r="F868" s="51"/>
      <c r="G868" s="52"/>
      <c r="H868" s="52"/>
      <c r="I868" s="52"/>
    </row>
    <row r="869">
      <c r="A869" s="33"/>
      <c r="F869" s="51"/>
      <c r="G869" s="52"/>
      <c r="H869" s="52"/>
      <c r="I869" s="52"/>
    </row>
    <row r="870">
      <c r="A870" s="33"/>
      <c r="F870" s="51"/>
      <c r="G870" s="52"/>
      <c r="H870" s="52"/>
      <c r="I870" s="52"/>
    </row>
    <row r="871">
      <c r="A871" s="33"/>
      <c r="F871" s="51"/>
      <c r="G871" s="52"/>
      <c r="H871" s="52"/>
      <c r="I871" s="52"/>
    </row>
    <row r="872">
      <c r="A872" s="33"/>
      <c r="F872" s="51"/>
      <c r="G872" s="52"/>
      <c r="H872" s="52"/>
      <c r="I872" s="52"/>
    </row>
    <row r="873">
      <c r="A873" s="33"/>
      <c r="F873" s="51"/>
      <c r="G873" s="52"/>
      <c r="H873" s="52"/>
      <c r="I873" s="52"/>
    </row>
    <row r="874">
      <c r="A874" s="33"/>
      <c r="F874" s="51"/>
      <c r="G874" s="52"/>
      <c r="H874" s="52"/>
      <c r="I874" s="52"/>
    </row>
    <row r="875">
      <c r="A875" s="33"/>
      <c r="F875" s="51"/>
      <c r="G875" s="52"/>
      <c r="H875" s="52"/>
      <c r="I875" s="52"/>
    </row>
    <row r="876">
      <c r="A876" s="33"/>
      <c r="F876" s="51"/>
      <c r="G876" s="52"/>
      <c r="H876" s="52"/>
      <c r="I876" s="52"/>
    </row>
    <row r="877">
      <c r="A877" s="33"/>
      <c r="F877" s="51"/>
      <c r="G877" s="52"/>
      <c r="H877" s="52"/>
      <c r="I877" s="52"/>
    </row>
    <row r="878">
      <c r="A878" s="33"/>
      <c r="F878" s="51"/>
      <c r="G878" s="52"/>
      <c r="H878" s="52"/>
      <c r="I878" s="52"/>
    </row>
    <row r="879">
      <c r="A879" s="33"/>
      <c r="F879" s="51"/>
      <c r="G879" s="52"/>
      <c r="H879" s="52"/>
      <c r="I879" s="52"/>
    </row>
    <row r="880">
      <c r="A880" s="33"/>
      <c r="F880" s="51"/>
      <c r="G880" s="52"/>
      <c r="H880" s="52"/>
      <c r="I880" s="52"/>
    </row>
    <row r="881">
      <c r="A881" s="33"/>
      <c r="F881" s="51"/>
      <c r="G881" s="52"/>
      <c r="H881" s="52"/>
      <c r="I881" s="52"/>
    </row>
    <row r="882">
      <c r="A882" s="33"/>
      <c r="F882" s="51"/>
      <c r="G882" s="52"/>
      <c r="H882" s="52"/>
      <c r="I882" s="52"/>
    </row>
    <row r="883">
      <c r="A883" s="33"/>
      <c r="F883" s="51"/>
      <c r="G883" s="52"/>
      <c r="H883" s="52"/>
      <c r="I883" s="52"/>
    </row>
    <row r="884">
      <c r="A884" s="33"/>
      <c r="F884" s="51"/>
      <c r="G884" s="52"/>
      <c r="H884" s="52"/>
      <c r="I884" s="52"/>
    </row>
    <row r="885">
      <c r="A885" s="33"/>
      <c r="F885" s="51"/>
      <c r="G885" s="52"/>
      <c r="H885" s="52"/>
      <c r="I885" s="52"/>
    </row>
    <row r="886">
      <c r="A886" s="33"/>
      <c r="F886" s="51"/>
      <c r="G886" s="52"/>
      <c r="H886" s="52"/>
      <c r="I886" s="52"/>
    </row>
    <row r="887">
      <c r="A887" s="33"/>
      <c r="F887" s="51"/>
      <c r="G887" s="52"/>
      <c r="H887" s="52"/>
      <c r="I887" s="52"/>
    </row>
    <row r="888">
      <c r="A888" s="33"/>
      <c r="F888" s="51"/>
      <c r="G888" s="52"/>
      <c r="H888" s="52"/>
      <c r="I888" s="52"/>
    </row>
    <row r="889">
      <c r="A889" s="33"/>
      <c r="F889" s="51"/>
      <c r="G889" s="52"/>
      <c r="H889" s="52"/>
      <c r="I889" s="52"/>
    </row>
    <row r="890">
      <c r="A890" s="33"/>
      <c r="F890" s="51"/>
      <c r="G890" s="52"/>
      <c r="H890" s="52"/>
      <c r="I890" s="52"/>
    </row>
    <row r="891">
      <c r="A891" s="33"/>
      <c r="F891" s="51"/>
      <c r="G891" s="52"/>
      <c r="H891" s="52"/>
      <c r="I891" s="52"/>
    </row>
    <row r="892">
      <c r="A892" s="33"/>
      <c r="F892" s="51"/>
      <c r="G892" s="52"/>
      <c r="H892" s="52"/>
      <c r="I892" s="52"/>
    </row>
    <row r="893">
      <c r="A893" s="33"/>
      <c r="F893" s="51"/>
      <c r="G893" s="52"/>
      <c r="H893" s="52"/>
      <c r="I893" s="52"/>
    </row>
    <row r="894">
      <c r="A894" s="33"/>
      <c r="F894" s="51"/>
      <c r="G894" s="52"/>
      <c r="H894" s="52"/>
      <c r="I894" s="52"/>
    </row>
    <row r="895">
      <c r="A895" s="33"/>
      <c r="F895" s="51"/>
      <c r="G895" s="52"/>
      <c r="H895" s="52"/>
      <c r="I895" s="52"/>
    </row>
    <row r="896">
      <c r="A896" s="33"/>
      <c r="F896" s="51"/>
      <c r="G896" s="52"/>
      <c r="H896" s="52"/>
      <c r="I896" s="52"/>
    </row>
    <row r="897">
      <c r="A897" s="33"/>
      <c r="F897" s="51"/>
      <c r="G897" s="52"/>
      <c r="H897" s="52"/>
      <c r="I897" s="52"/>
    </row>
    <row r="898">
      <c r="A898" s="33"/>
      <c r="F898" s="51"/>
      <c r="G898" s="52"/>
      <c r="H898" s="52"/>
      <c r="I898" s="52"/>
    </row>
    <row r="899">
      <c r="A899" s="33"/>
      <c r="F899" s="51"/>
      <c r="G899" s="52"/>
      <c r="H899" s="52"/>
      <c r="I899" s="52"/>
    </row>
    <row r="900">
      <c r="A900" s="33"/>
      <c r="F900" s="51"/>
      <c r="G900" s="52"/>
      <c r="H900" s="52"/>
      <c r="I900" s="52"/>
    </row>
    <row r="901">
      <c r="A901" s="33"/>
      <c r="F901" s="51"/>
      <c r="G901" s="52"/>
      <c r="H901" s="52"/>
      <c r="I901" s="52"/>
    </row>
    <row r="902">
      <c r="A902" s="33"/>
      <c r="F902" s="51"/>
      <c r="G902" s="52"/>
      <c r="H902" s="52"/>
      <c r="I902" s="52"/>
    </row>
    <row r="903">
      <c r="A903" s="33"/>
      <c r="F903" s="51"/>
      <c r="G903" s="52"/>
      <c r="H903" s="52"/>
      <c r="I903" s="52"/>
    </row>
    <row r="904">
      <c r="A904" s="33"/>
      <c r="F904" s="51"/>
      <c r="G904" s="52"/>
      <c r="H904" s="52"/>
      <c r="I904" s="52"/>
    </row>
    <row r="905">
      <c r="A905" s="33"/>
      <c r="F905" s="51"/>
      <c r="G905" s="52"/>
      <c r="H905" s="52"/>
      <c r="I905" s="52"/>
    </row>
    <row r="906">
      <c r="A906" s="33"/>
      <c r="F906" s="51"/>
      <c r="G906" s="52"/>
      <c r="H906" s="52"/>
      <c r="I906" s="52"/>
    </row>
    <row r="907">
      <c r="A907" s="33"/>
      <c r="F907" s="51"/>
      <c r="G907" s="52"/>
      <c r="H907" s="52"/>
      <c r="I907" s="52"/>
    </row>
    <row r="908">
      <c r="A908" s="33"/>
      <c r="F908" s="51"/>
      <c r="G908" s="52"/>
      <c r="H908" s="52"/>
      <c r="I908" s="52"/>
    </row>
    <row r="909">
      <c r="A909" s="33"/>
      <c r="F909" s="51"/>
      <c r="G909" s="52"/>
      <c r="H909" s="52"/>
      <c r="I909" s="52"/>
    </row>
    <row r="910">
      <c r="A910" s="33"/>
      <c r="F910" s="51"/>
      <c r="G910" s="52"/>
      <c r="H910" s="52"/>
      <c r="I910" s="52"/>
    </row>
    <row r="911">
      <c r="A911" s="33"/>
      <c r="F911" s="51"/>
      <c r="G911" s="52"/>
      <c r="H911" s="52"/>
      <c r="I911" s="52"/>
    </row>
    <row r="912">
      <c r="A912" s="33"/>
      <c r="F912" s="51"/>
      <c r="G912" s="52"/>
      <c r="H912" s="52"/>
      <c r="I912" s="52"/>
    </row>
    <row r="913">
      <c r="A913" s="33"/>
      <c r="F913" s="51"/>
      <c r="G913" s="52"/>
      <c r="H913" s="52"/>
      <c r="I913" s="52"/>
    </row>
    <row r="914">
      <c r="A914" s="33"/>
      <c r="F914" s="51"/>
      <c r="G914" s="52"/>
      <c r="H914" s="52"/>
      <c r="I914" s="52"/>
    </row>
    <row r="915">
      <c r="A915" s="33"/>
      <c r="F915" s="51"/>
      <c r="G915" s="52"/>
      <c r="H915" s="52"/>
      <c r="I915" s="52"/>
    </row>
    <row r="916">
      <c r="A916" s="33"/>
      <c r="F916" s="51"/>
      <c r="G916" s="52"/>
      <c r="H916" s="52"/>
      <c r="I916" s="52"/>
    </row>
    <row r="917">
      <c r="A917" s="33"/>
      <c r="F917" s="51"/>
      <c r="G917" s="52"/>
      <c r="H917" s="52"/>
      <c r="I917" s="52"/>
    </row>
    <row r="918">
      <c r="A918" s="33"/>
      <c r="F918" s="51"/>
      <c r="G918" s="52"/>
      <c r="H918" s="52"/>
      <c r="I918" s="52"/>
    </row>
    <row r="919">
      <c r="A919" s="33"/>
      <c r="F919" s="51"/>
      <c r="G919" s="52"/>
      <c r="H919" s="52"/>
      <c r="I919" s="52"/>
    </row>
    <row r="920">
      <c r="A920" s="33"/>
      <c r="F920" s="51"/>
      <c r="G920" s="52"/>
      <c r="H920" s="52"/>
      <c r="I920" s="52"/>
    </row>
    <row r="921">
      <c r="A921" s="33"/>
      <c r="F921" s="51"/>
      <c r="G921" s="52"/>
      <c r="H921" s="52"/>
      <c r="I921" s="52"/>
    </row>
    <row r="922">
      <c r="A922" s="33"/>
      <c r="F922" s="51"/>
      <c r="G922" s="52"/>
      <c r="H922" s="52"/>
      <c r="I922" s="52"/>
    </row>
    <row r="923">
      <c r="A923" s="33"/>
      <c r="F923" s="51"/>
      <c r="G923" s="52"/>
      <c r="H923" s="52"/>
      <c r="I923" s="52"/>
    </row>
    <row r="924">
      <c r="A924" s="33"/>
      <c r="F924" s="51"/>
      <c r="G924" s="52"/>
      <c r="H924" s="52"/>
      <c r="I924" s="52"/>
    </row>
    <row r="925">
      <c r="A925" s="33"/>
      <c r="F925" s="51"/>
      <c r="G925" s="52"/>
      <c r="H925" s="52"/>
      <c r="I925" s="52"/>
    </row>
    <row r="926">
      <c r="A926" s="33"/>
      <c r="F926" s="51"/>
      <c r="G926" s="52"/>
      <c r="H926" s="52"/>
      <c r="I926" s="52"/>
    </row>
    <row r="927">
      <c r="A927" s="33"/>
      <c r="F927" s="51"/>
      <c r="G927" s="52"/>
      <c r="H927" s="52"/>
      <c r="I927" s="52"/>
    </row>
    <row r="928">
      <c r="A928" s="33"/>
      <c r="F928" s="51"/>
      <c r="G928" s="52"/>
      <c r="H928" s="52"/>
      <c r="I928" s="52"/>
    </row>
    <row r="929">
      <c r="A929" s="33"/>
      <c r="F929" s="51"/>
      <c r="G929" s="52"/>
      <c r="H929" s="52"/>
      <c r="I929" s="52"/>
    </row>
    <row r="930">
      <c r="A930" s="33"/>
      <c r="F930" s="51"/>
      <c r="G930" s="52"/>
      <c r="H930" s="52"/>
      <c r="I930" s="52"/>
    </row>
    <row r="931">
      <c r="A931" s="33"/>
      <c r="F931" s="51"/>
      <c r="G931" s="52"/>
      <c r="H931" s="52"/>
      <c r="I931" s="52"/>
    </row>
    <row r="932">
      <c r="A932" s="33"/>
      <c r="F932" s="51"/>
      <c r="G932" s="52"/>
      <c r="H932" s="52"/>
      <c r="I932" s="52"/>
    </row>
    <row r="933">
      <c r="A933" s="33"/>
      <c r="F933" s="51"/>
      <c r="G933" s="52"/>
      <c r="H933" s="52"/>
      <c r="I933" s="52"/>
    </row>
    <row r="934">
      <c r="A934" s="33"/>
      <c r="F934" s="51"/>
      <c r="G934" s="52"/>
      <c r="H934" s="52"/>
      <c r="I934" s="52"/>
    </row>
    <row r="935">
      <c r="A935" s="33"/>
      <c r="F935" s="51"/>
      <c r="G935" s="52"/>
      <c r="H935" s="52"/>
      <c r="I935" s="52"/>
    </row>
    <row r="936">
      <c r="A936" s="33"/>
      <c r="F936" s="51"/>
      <c r="G936" s="52"/>
      <c r="H936" s="52"/>
      <c r="I936" s="52"/>
    </row>
    <row r="937">
      <c r="A937" s="33"/>
      <c r="F937" s="51"/>
      <c r="G937" s="52"/>
      <c r="H937" s="52"/>
      <c r="I937" s="52"/>
    </row>
    <row r="938">
      <c r="A938" s="33"/>
      <c r="F938" s="51"/>
      <c r="G938" s="52"/>
      <c r="H938" s="52"/>
      <c r="I938" s="52"/>
    </row>
    <row r="939">
      <c r="A939" s="33"/>
      <c r="F939" s="51"/>
      <c r="G939" s="52"/>
      <c r="H939" s="52"/>
      <c r="I939" s="52"/>
    </row>
    <row r="940">
      <c r="A940" s="33"/>
      <c r="F940" s="51"/>
      <c r="G940" s="52"/>
      <c r="H940" s="52"/>
      <c r="I940" s="52"/>
    </row>
    <row r="941">
      <c r="A941" s="33"/>
      <c r="F941" s="51"/>
      <c r="G941" s="52"/>
      <c r="H941" s="52"/>
      <c r="I941" s="52"/>
    </row>
    <row r="942">
      <c r="A942" s="33"/>
      <c r="F942" s="51"/>
      <c r="G942" s="52"/>
      <c r="H942" s="52"/>
      <c r="I942" s="52"/>
    </row>
    <row r="943">
      <c r="A943" s="33"/>
      <c r="F943" s="51"/>
      <c r="G943" s="52"/>
      <c r="H943" s="52"/>
      <c r="I943" s="52"/>
    </row>
    <row r="944">
      <c r="A944" s="33"/>
      <c r="F944" s="51"/>
      <c r="G944" s="52"/>
      <c r="H944" s="52"/>
      <c r="I944" s="52"/>
    </row>
    <row r="945">
      <c r="A945" s="33"/>
      <c r="F945" s="51"/>
      <c r="G945" s="52"/>
      <c r="H945" s="52"/>
      <c r="I945" s="52"/>
    </row>
    <row r="946">
      <c r="A946" s="33"/>
      <c r="F946" s="51"/>
      <c r="G946" s="52"/>
      <c r="H946" s="52"/>
      <c r="I946" s="52"/>
    </row>
    <row r="947">
      <c r="A947" s="33"/>
      <c r="F947" s="51"/>
      <c r="G947" s="52"/>
      <c r="H947" s="52"/>
      <c r="I947" s="52"/>
    </row>
    <row r="948">
      <c r="A948" s="33"/>
      <c r="F948" s="51"/>
      <c r="G948" s="52"/>
      <c r="H948" s="52"/>
      <c r="I948" s="52"/>
    </row>
    <row r="949">
      <c r="A949" s="33"/>
      <c r="F949" s="51"/>
      <c r="G949" s="52"/>
      <c r="H949" s="52"/>
      <c r="I949" s="52"/>
    </row>
    <row r="950">
      <c r="A950" s="33"/>
      <c r="F950" s="51"/>
      <c r="G950" s="52"/>
      <c r="H950" s="52"/>
      <c r="I950" s="52"/>
    </row>
    <row r="951">
      <c r="A951" s="33"/>
      <c r="F951" s="51"/>
      <c r="G951" s="52"/>
      <c r="H951" s="52"/>
      <c r="I951" s="52"/>
    </row>
    <row r="952">
      <c r="A952" s="33"/>
      <c r="F952" s="51"/>
      <c r="G952" s="52"/>
      <c r="H952" s="52"/>
      <c r="I952" s="52"/>
    </row>
    <row r="953">
      <c r="A953" s="33"/>
      <c r="F953" s="51"/>
      <c r="G953" s="52"/>
      <c r="H953" s="52"/>
      <c r="I953" s="52"/>
    </row>
    <row r="954">
      <c r="A954" s="33"/>
      <c r="F954" s="51"/>
      <c r="G954" s="52"/>
      <c r="H954" s="52"/>
      <c r="I954" s="52"/>
    </row>
    <row r="955">
      <c r="A955" s="33"/>
      <c r="F955" s="51"/>
      <c r="G955" s="52"/>
      <c r="H955" s="52"/>
      <c r="I955" s="52"/>
    </row>
    <row r="956">
      <c r="A956" s="33"/>
      <c r="F956" s="51"/>
      <c r="G956" s="52"/>
      <c r="H956" s="52"/>
      <c r="I956" s="52"/>
    </row>
    <row r="957">
      <c r="A957" s="33"/>
      <c r="F957" s="51"/>
      <c r="G957" s="52"/>
      <c r="H957" s="52"/>
      <c r="I957" s="52"/>
    </row>
    <row r="958">
      <c r="A958" s="33"/>
      <c r="F958" s="51"/>
      <c r="G958" s="52"/>
      <c r="H958" s="52"/>
      <c r="I958" s="52"/>
    </row>
    <row r="959">
      <c r="A959" s="33"/>
      <c r="F959" s="51"/>
      <c r="G959" s="52"/>
      <c r="H959" s="52"/>
      <c r="I959" s="52"/>
    </row>
    <row r="960">
      <c r="A960" s="33"/>
      <c r="F960" s="51"/>
      <c r="G960" s="52"/>
      <c r="H960" s="52"/>
      <c r="I960" s="52"/>
    </row>
    <row r="961">
      <c r="A961" s="33"/>
      <c r="F961" s="51"/>
      <c r="G961" s="52"/>
      <c r="H961" s="52"/>
      <c r="I961" s="52"/>
    </row>
    <row r="962">
      <c r="A962" s="33"/>
      <c r="F962" s="51"/>
      <c r="G962" s="52"/>
      <c r="H962" s="52"/>
      <c r="I962" s="52"/>
    </row>
    <row r="963">
      <c r="A963" s="33"/>
      <c r="F963" s="51"/>
      <c r="G963" s="52"/>
      <c r="H963" s="52"/>
      <c r="I963" s="52"/>
    </row>
    <row r="964">
      <c r="A964" s="33"/>
      <c r="F964" s="51"/>
      <c r="G964" s="52"/>
      <c r="H964" s="52"/>
      <c r="I964" s="52"/>
    </row>
    <row r="965">
      <c r="A965" s="33"/>
      <c r="F965" s="51"/>
      <c r="G965" s="52"/>
      <c r="H965" s="52"/>
      <c r="I965" s="52"/>
    </row>
    <row r="966">
      <c r="A966" s="33"/>
      <c r="F966" s="51"/>
      <c r="G966" s="52"/>
      <c r="H966" s="52"/>
      <c r="I966" s="52"/>
    </row>
    <row r="967">
      <c r="A967" s="33"/>
      <c r="F967" s="51"/>
      <c r="G967" s="52"/>
      <c r="H967" s="52"/>
      <c r="I967" s="52"/>
    </row>
    <row r="968">
      <c r="A968" s="33"/>
      <c r="F968" s="51"/>
      <c r="G968" s="52"/>
      <c r="H968" s="52"/>
      <c r="I968" s="52"/>
    </row>
    <row r="969">
      <c r="A969" s="33"/>
      <c r="F969" s="51"/>
      <c r="G969" s="52"/>
      <c r="H969" s="52"/>
      <c r="I969" s="52"/>
    </row>
    <row r="970">
      <c r="A970" s="33"/>
      <c r="F970" s="51"/>
      <c r="G970" s="52"/>
      <c r="H970" s="52"/>
      <c r="I970" s="52"/>
    </row>
    <row r="971">
      <c r="A971" s="33"/>
      <c r="F971" s="51"/>
      <c r="G971" s="52"/>
      <c r="H971" s="52"/>
      <c r="I971" s="52"/>
    </row>
    <row r="972">
      <c r="A972" s="33"/>
      <c r="F972" s="51"/>
      <c r="G972" s="52"/>
      <c r="H972" s="52"/>
      <c r="I972" s="52"/>
    </row>
    <row r="973">
      <c r="A973" s="33"/>
      <c r="F973" s="51"/>
      <c r="G973" s="52"/>
      <c r="H973" s="52"/>
      <c r="I973" s="52"/>
    </row>
    <row r="974">
      <c r="A974" s="33"/>
      <c r="F974" s="51"/>
      <c r="G974" s="52"/>
      <c r="H974" s="52"/>
      <c r="I974" s="52"/>
    </row>
    <row r="975">
      <c r="A975" s="33"/>
      <c r="F975" s="51"/>
      <c r="G975" s="52"/>
      <c r="H975" s="52"/>
      <c r="I975" s="52"/>
    </row>
    <row r="976">
      <c r="A976" s="33"/>
      <c r="F976" s="51"/>
      <c r="G976" s="52"/>
      <c r="H976" s="52"/>
      <c r="I976" s="52"/>
    </row>
    <row r="977">
      <c r="A977" s="33"/>
      <c r="F977" s="51"/>
      <c r="G977" s="52"/>
      <c r="H977" s="52"/>
      <c r="I977" s="52"/>
    </row>
    <row r="978">
      <c r="A978" s="33"/>
      <c r="F978" s="51"/>
      <c r="G978" s="52"/>
      <c r="H978" s="52"/>
      <c r="I978" s="52"/>
    </row>
    <row r="979">
      <c r="A979" s="33"/>
      <c r="F979" s="51"/>
      <c r="G979" s="52"/>
      <c r="H979" s="52"/>
      <c r="I979" s="52"/>
    </row>
    <row r="980">
      <c r="A980" s="33"/>
      <c r="F980" s="51"/>
      <c r="G980" s="52"/>
      <c r="H980" s="52"/>
      <c r="I980" s="52"/>
    </row>
    <row r="981">
      <c r="A981" s="33"/>
      <c r="F981" s="51"/>
      <c r="G981" s="52"/>
      <c r="H981" s="52"/>
      <c r="I981" s="52"/>
    </row>
    <row r="982">
      <c r="A982" s="33"/>
      <c r="F982" s="51"/>
      <c r="G982" s="52"/>
      <c r="H982" s="52"/>
      <c r="I982" s="52"/>
    </row>
    <row r="983">
      <c r="A983" s="33"/>
      <c r="F983" s="51"/>
      <c r="G983" s="52"/>
      <c r="H983" s="52"/>
      <c r="I983" s="52"/>
    </row>
    <row r="984">
      <c r="A984" s="33"/>
      <c r="F984" s="51"/>
      <c r="G984" s="52"/>
      <c r="H984" s="52"/>
      <c r="I984" s="52"/>
    </row>
    <row r="985">
      <c r="A985" s="33"/>
      <c r="F985" s="51"/>
      <c r="G985" s="52"/>
      <c r="H985" s="52"/>
      <c r="I985" s="52"/>
    </row>
    <row r="986">
      <c r="A986" s="33"/>
      <c r="F986" s="51"/>
      <c r="G986" s="52"/>
      <c r="H986" s="52"/>
      <c r="I986" s="52"/>
    </row>
    <row r="987">
      <c r="A987" s="33"/>
      <c r="F987" s="51"/>
      <c r="G987" s="52"/>
      <c r="H987" s="52"/>
      <c r="I987" s="52"/>
    </row>
    <row r="988">
      <c r="A988" s="33"/>
      <c r="F988" s="51"/>
      <c r="G988" s="52"/>
      <c r="H988" s="52"/>
      <c r="I988" s="52"/>
    </row>
    <row r="989">
      <c r="A989" s="33"/>
      <c r="F989" s="51"/>
      <c r="G989" s="52"/>
      <c r="H989" s="52"/>
      <c r="I989" s="52"/>
    </row>
    <row r="990">
      <c r="A990" s="33"/>
      <c r="F990" s="51"/>
      <c r="G990" s="52"/>
      <c r="H990" s="52"/>
      <c r="I990" s="52"/>
    </row>
    <row r="991">
      <c r="A991" s="33"/>
      <c r="F991" s="51"/>
      <c r="G991" s="52"/>
      <c r="H991" s="52"/>
      <c r="I991" s="52"/>
    </row>
    <row r="992">
      <c r="A992" s="33"/>
      <c r="F992" s="51"/>
      <c r="G992" s="52"/>
      <c r="H992" s="52"/>
      <c r="I992" s="52"/>
    </row>
    <row r="993">
      <c r="A993" s="33"/>
      <c r="F993" s="51"/>
      <c r="G993" s="52"/>
      <c r="H993" s="52"/>
      <c r="I993" s="52"/>
    </row>
    <row r="994">
      <c r="A994" s="33"/>
      <c r="F994" s="51"/>
      <c r="G994" s="52"/>
      <c r="H994" s="52"/>
      <c r="I994" s="52"/>
    </row>
    <row r="995">
      <c r="A995" s="33"/>
      <c r="F995" s="51"/>
      <c r="G995" s="52"/>
      <c r="H995" s="52"/>
      <c r="I995" s="52"/>
    </row>
    <row r="996">
      <c r="A996" s="33"/>
      <c r="F996" s="51"/>
      <c r="G996" s="52"/>
      <c r="H996" s="52"/>
      <c r="I996" s="52"/>
    </row>
    <row r="997">
      <c r="A997" s="33"/>
      <c r="F997" s="51"/>
      <c r="G997" s="52"/>
      <c r="H997" s="52"/>
      <c r="I997" s="52"/>
    </row>
    <row r="998">
      <c r="A998" s="33"/>
      <c r="F998" s="51"/>
      <c r="G998" s="52"/>
      <c r="H998" s="52"/>
      <c r="I998" s="52"/>
    </row>
    <row r="999">
      <c r="A999" s="33"/>
      <c r="F999" s="51"/>
      <c r="G999" s="52"/>
      <c r="H999" s="52"/>
      <c r="I999" s="52"/>
    </row>
    <row r="1000">
      <c r="A1000" s="33"/>
      <c r="F1000" s="51"/>
      <c r="G1000" s="52"/>
      <c r="H1000" s="52"/>
      <c r="I1000" s="52"/>
    </row>
    <row r="1001">
      <c r="A1001" s="33"/>
      <c r="F1001" s="51"/>
      <c r="G1001" s="52"/>
      <c r="H1001" s="52"/>
      <c r="I1001" s="52"/>
    </row>
  </sheetData>
  <mergeCells count="15">
    <mergeCell ref="H7:H10"/>
    <mergeCell ref="H13:H18"/>
    <mergeCell ref="I13:I18"/>
    <mergeCell ref="B19:D19"/>
    <mergeCell ref="F19:I19"/>
    <mergeCell ref="B20:D20"/>
    <mergeCell ref="F22:I22"/>
    <mergeCell ref="F23:I23"/>
    <mergeCell ref="F1:I1"/>
    <mergeCell ref="F3:I4"/>
    <mergeCell ref="B5:D5"/>
    <mergeCell ref="B6:B11"/>
    <mergeCell ref="F6:I6"/>
    <mergeCell ref="I7:I10"/>
    <mergeCell ref="B12:D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1" width="18.88"/>
    <col customWidth="1" min="22" max="22" width="38.25"/>
    <col customWidth="1" min="23" max="23" width="32.88"/>
    <col customWidth="1" min="24" max="53" width="18.88"/>
  </cols>
  <sheetData>
    <row r="1">
      <c r="A1" s="80" t="s">
        <v>18</v>
      </c>
      <c r="B1" s="80" t="s">
        <v>19</v>
      </c>
      <c r="C1" s="80" t="s">
        <v>477</v>
      </c>
      <c r="D1" s="80" t="s">
        <v>21</v>
      </c>
      <c r="E1" s="80" t="s">
        <v>478</v>
      </c>
      <c r="F1" s="80" t="s">
        <v>479</v>
      </c>
      <c r="G1" s="80" t="s">
        <v>480</v>
      </c>
      <c r="H1" s="80" t="s">
        <v>481</v>
      </c>
      <c r="I1" s="80" t="s">
        <v>482</v>
      </c>
      <c r="J1" s="80" t="s">
        <v>483</v>
      </c>
      <c r="K1" s="80" t="s">
        <v>484</v>
      </c>
      <c r="L1" s="80" t="s">
        <v>485</v>
      </c>
      <c r="M1" s="80" t="s">
        <v>486</v>
      </c>
      <c r="N1" s="80" t="s">
        <v>487</v>
      </c>
      <c r="O1" s="80" t="s">
        <v>488</v>
      </c>
      <c r="P1" s="80" t="s">
        <v>489</v>
      </c>
      <c r="Q1" s="80" t="s">
        <v>34</v>
      </c>
      <c r="R1" s="80" t="s">
        <v>35</v>
      </c>
      <c r="S1" s="80" t="s">
        <v>36</v>
      </c>
      <c r="T1" s="80" t="s">
        <v>490</v>
      </c>
      <c r="U1" s="80" t="s">
        <v>491</v>
      </c>
      <c r="V1" s="80" t="s">
        <v>492</v>
      </c>
      <c r="W1" s="80" t="s">
        <v>493</v>
      </c>
      <c r="X1" s="80" t="s">
        <v>478</v>
      </c>
      <c r="Y1" s="80" t="s">
        <v>494</v>
      </c>
      <c r="Z1" s="80" t="s">
        <v>480</v>
      </c>
      <c r="AA1" s="80" t="s">
        <v>495</v>
      </c>
      <c r="AB1" s="80" t="s">
        <v>496</v>
      </c>
      <c r="AC1" s="80" t="s">
        <v>497</v>
      </c>
      <c r="AD1" s="80" t="s">
        <v>484</v>
      </c>
      <c r="AE1" s="80" t="s">
        <v>485</v>
      </c>
      <c r="AF1" s="80" t="s">
        <v>486</v>
      </c>
      <c r="AG1" s="80" t="s">
        <v>498</v>
      </c>
      <c r="AH1" s="80" t="s">
        <v>488</v>
      </c>
      <c r="AI1" s="80" t="s">
        <v>499</v>
      </c>
      <c r="AJ1" s="80" t="s">
        <v>43</v>
      </c>
      <c r="AK1" s="80" t="s">
        <v>35</v>
      </c>
      <c r="AL1" s="80" t="s">
        <v>36</v>
      </c>
      <c r="AM1" s="80" t="s">
        <v>490</v>
      </c>
      <c r="AN1" s="80" t="s">
        <v>491</v>
      </c>
      <c r="AO1" s="80" t="s">
        <v>46</v>
      </c>
      <c r="AP1" s="80" t="s">
        <v>47</v>
      </c>
      <c r="AQ1" s="80" t="s">
        <v>48</v>
      </c>
      <c r="AR1" s="80" t="s">
        <v>49</v>
      </c>
      <c r="AS1" s="80" t="s">
        <v>50</v>
      </c>
      <c r="AT1" s="80" t="s">
        <v>51</v>
      </c>
      <c r="AU1" s="80" t="s">
        <v>52</v>
      </c>
    </row>
    <row r="2">
      <c r="A2" s="14">
        <v>45068.504176863426</v>
      </c>
      <c r="B2" s="15" t="s">
        <v>53</v>
      </c>
      <c r="C2" s="15" t="s">
        <v>53</v>
      </c>
      <c r="D2" s="15" t="s">
        <v>54</v>
      </c>
      <c r="T2" s="22">
        <v>4.0</v>
      </c>
      <c r="V2" s="15" t="s">
        <v>58</v>
      </c>
      <c r="X2" s="15" t="s">
        <v>53</v>
      </c>
      <c r="Y2" s="15">
        <v>3.0</v>
      </c>
      <c r="Z2" s="15">
        <v>4.0</v>
      </c>
      <c r="AA2" s="15">
        <v>4.0</v>
      </c>
      <c r="AB2" s="15">
        <v>5.0</v>
      </c>
      <c r="AC2" s="15">
        <v>2.0</v>
      </c>
      <c r="AD2" s="15">
        <v>4.0</v>
      </c>
      <c r="AE2" s="15">
        <v>2.0</v>
      </c>
      <c r="AF2" s="15">
        <v>3.0</v>
      </c>
      <c r="AG2" s="15">
        <v>4.0</v>
      </c>
      <c r="AH2" s="15">
        <v>4.0</v>
      </c>
      <c r="AI2" s="15">
        <v>4.0</v>
      </c>
      <c r="AJ2" s="15" t="s">
        <v>55</v>
      </c>
      <c r="AK2" s="15" t="s">
        <v>56</v>
      </c>
      <c r="AL2" s="15" t="s">
        <v>57</v>
      </c>
      <c r="AM2" s="15">
        <v>4.0</v>
      </c>
      <c r="AN2" s="15">
        <v>-3.0</v>
      </c>
      <c r="AO2" s="15">
        <v>21.0</v>
      </c>
      <c r="AP2" s="15" t="s">
        <v>59</v>
      </c>
      <c r="AQ2" s="15" t="s">
        <v>60</v>
      </c>
      <c r="AR2" s="15" t="s">
        <v>61</v>
      </c>
      <c r="AS2" s="15" t="s">
        <v>62</v>
      </c>
      <c r="AT2" s="15" t="s">
        <v>63</v>
      </c>
    </row>
    <row r="3">
      <c r="A3" s="14">
        <v>45068.50647395833</v>
      </c>
      <c r="B3" s="15" t="s">
        <v>53</v>
      </c>
      <c r="C3" s="15" t="s">
        <v>53</v>
      </c>
      <c r="D3" s="15" t="s">
        <v>54</v>
      </c>
      <c r="T3" s="22">
        <v>4.0</v>
      </c>
      <c r="W3" s="15" t="s">
        <v>66</v>
      </c>
      <c r="X3" s="15" t="s">
        <v>53</v>
      </c>
      <c r="Y3" s="15">
        <v>4.0</v>
      </c>
      <c r="Z3" s="15">
        <v>1.0</v>
      </c>
      <c r="AA3" s="15">
        <v>3.0</v>
      </c>
      <c r="AB3" s="15">
        <v>5.0</v>
      </c>
      <c r="AC3" s="15">
        <v>3.0</v>
      </c>
      <c r="AD3" s="15">
        <v>5.0</v>
      </c>
      <c r="AE3" s="15">
        <v>2.0</v>
      </c>
      <c r="AF3" s="15">
        <v>3.0</v>
      </c>
      <c r="AG3" s="15">
        <v>4.0</v>
      </c>
      <c r="AH3" s="15">
        <v>4.0</v>
      </c>
      <c r="AI3" s="15">
        <v>4.0</v>
      </c>
      <c r="AJ3" s="15" t="s">
        <v>55</v>
      </c>
      <c r="AK3" s="15" t="s">
        <v>57</v>
      </c>
      <c r="AL3" s="15" t="s">
        <v>64</v>
      </c>
      <c r="AM3" s="15">
        <v>4.0</v>
      </c>
      <c r="AN3" s="15" t="s">
        <v>65</v>
      </c>
      <c r="AO3" s="15">
        <v>19.0</v>
      </c>
      <c r="AP3" s="15" t="s">
        <v>67</v>
      </c>
      <c r="AQ3" s="15" t="s">
        <v>68</v>
      </c>
      <c r="AR3" s="15" t="s">
        <v>61</v>
      </c>
      <c r="AS3" s="15" t="s">
        <v>69</v>
      </c>
      <c r="AT3" s="15" t="s">
        <v>70</v>
      </c>
      <c r="AU3" s="15" t="s">
        <v>71</v>
      </c>
    </row>
    <row r="4">
      <c r="A4" s="14">
        <v>45068.50838143518</v>
      </c>
      <c r="B4" s="15" t="s">
        <v>53</v>
      </c>
      <c r="C4" s="15" t="s">
        <v>53</v>
      </c>
      <c r="D4" s="15" t="s">
        <v>72</v>
      </c>
      <c r="T4" s="22">
        <v>3.0</v>
      </c>
      <c r="W4" s="15" t="s">
        <v>73</v>
      </c>
      <c r="X4" s="15" t="s">
        <v>53</v>
      </c>
      <c r="Y4" s="15">
        <v>5.0</v>
      </c>
      <c r="Z4" s="15">
        <v>1.0</v>
      </c>
      <c r="AA4" s="15">
        <v>1.0</v>
      </c>
      <c r="AB4" s="15">
        <v>4.0</v>
      </c>
      <c r="AC4" s="15">
        <v>5.0</v>
      </c>
      <c r="AD4" s="15">
        <v>4.0</v>
      </c>
      <c r="AE4" s="15">
        <v>2.0</v>
      </c>
      <c r="AF4" s="15">
        <v>3.0</v>
      </c>
      <c r="AG4" s="15">
        <v>3.0</v>
      </c>
      <c r="AH4" s="15">
        <v>3.0</v>
      </c>
      <c r="AI4" s="15">
        <v>3.0</v>
      </c>
      <c r="AJ4" s="15" t="s">
        <v>55</v>
      </c>
      <c r="AK4" s="15" t="s">
        <v>56</v>
      </c>
      <c r="AL4" s="15" t="s">
        <v>64</v>
      </c>
      <c r="AM4" s="15">
        <v>3.0</v>
      </c>
      <c r="AN4" s="15" t="s">
        <v>72</v>
      </c>
      <c r="AO4" s="15">
        <v>22.0</v>
      </c>
      <c r="AP4" s="15" t="s">
        <v>59</v>
      </c>
      <c r="AQ4" s="15" t="s">
        <v>60</v>
      </c>
      <c r="AR4" s="15" t="s">
        <v>61</v>
      </c>
      <c r="AS4" s="15" t="s">
        <v>74</v>
      </c>
      <c r="AT4" s="15" t="s">
        <v>75</v>
      </c>
      <c r="AU4" s="15" t="s">
        <v>76</v>
      </c>
    </row>
    <row r="5">
      <c r="A5" s="14">
        <v>45068.514971192126</v>
      </c>
      <c r="B5" s="15" t="s">
        <v>53</v>
      </c>
      <c r="C5" s="15" t="s">
        <v>53</v>
      </c>
      <c r="D5" s="15" t="s">
        <v>65</v>
      </c>
      <c r="T5" s="22">
        <v>4.0</v>
      </c>
      <c r="W5" s="15" t="s">
        <v>77</v>
      </c>
      <c r="X5" s="15" t="s">
        <v>53</v>
      </c>
      <c r="Y5" s="15">
        <v>3.0</v>
      </c>
      <c r="Z5" s="15">
        <v>3.0</v>
      </c>
      <c r="AA5" s="15">
        <v>2.0</v>
      </c>
      <c r="AB5" s="15">
        <v>4.0</v>
      </c>
      <c r="AC5" s="15">
        <v>3.0</v>
      </c>
      <c r="AD5" s="15">
        <v>4.0</v>
      </c>
      <c r="AE5" s="15">
        <v>2.0</v>
      </c>
      <c r="AF5" s="15">
        <v>3.0</v>
      </c>
      <c r="AG5" s="15">
        <v>4.0</v>
      </c>
      <c r="AH5" s="15">
        <v>4.0</v>
      </c>
      <c r="AI5" s="15">
        <v>3.0</v>
      </c>
      <c r="AJ5" s="15" t="s">
        <v>56</v>
      </c>
      <c r="AK5" s="15" t="s">
        <v>57</v>
      </c>
      <c r="AL5" s="15" t="s">
        <v>55</v>
      </c>
      <c r="AM5" s="15">
        <v>4.0</v>
      </c>
      <c r="AN5" s="15" t="s">
        <v>65</v>
      </c>
      <c r="AO5" s="15">
        <v>21.0</v>
      </c>
      <c r="AP5" s="15" t="s">
        <v>67</v>
      </c>
      <c r="AQ5" s="15" t="s">
        <v>60</v>
      </c>
      <c r="AR5" s="15" t="s">
        <v>61</v>
      </c>
      <c r="AS5" s="15" t="s">
        <v>78</v>
      </c>
      <c r="AT5" s="15" t="s">
        <v>79</v>
      </c>
    </row>
    <row r="6">
      <c r="A6" s="14">
        <v>45068.52058964121</v>
      </c>
      <c r="B6" s="15" t="s">
        <v>53</v>
      </c>
      <c r="C6" s="15" t="s">
        <v>53</v>
      </c>
      <c r="D6" s="15" t="s">
        <v>54</v>
      </c>
      <c r="T6" s="22">
        <v>4.0</v>
      </c>
      <c r="V6" s="15" t="s">
        <v>80</v>
      </c>
      <c r="X6" s="15" t="s">
        <v>53</v>
      </c>
      <c r="Y6" s="15">
        <v>3.0</v>
      </c>
      <c r="Z6" s="15">
        <v>2.0</v>
      </c>
      <c r="AA6" s="15">
        <v>2.0</v>
      </c>
      <c r="AB6" s="15">
        <v>4.0</v>
      </c>
      <c r="AC6" s="15">
        <v>3.0</v>
      </c>
      <c r="AD6" s="15">
        <v>4.0</v>
      </c>
      <c r="AE6" s="15">
        <v>2.0</v>
      </c>
      <c r="AF6" s="15">
        <v>3.0</v>
      </c>
      <c r="AG6" s="15">
        <v>3.0</v>
      </c>
      <c r="AH6" s="15">
        <v>3.0</v>
      </c>
      <c r="AI6" s="15">
        <v>3.0</v>
      </c>
      <c r="AJ6" s="15" t="s">
        <v>55</v>
      </c>
      <c r="AK6" s="15" t="s">
        <v>64</v>
      </c>
      <c r="AL6" s="15" t="s">
        <v>57</v>
      </c>
      <c r="AM6" s="15">
        <v>4.0</v>
      </c>
      <c r="AN6" s="15">
        <v>-1.0</v>
      </c>
      <c r="AO6" s="15">
        <v>20.0</v>
      </c>
      <c r="AP6" s="15" t="s">
        <v>67</v>
      </c>
      <c r="AQ6" s="15" t="s">
        <v>60</v>
      </c>
      <c r="AR6" s="15" t="s">
        <v>61</v>
      </c>
      <c r="AS6" s="15" t="s">
        <v>81</v>
      </c>
      <c r="AT6" s="15" t="s">
        <v>82</v>
      </c>
    </row>
    <row r="7">
      <c r="A7" s="14">
        <v>45068.524808912036</v>
      </c>
      <c r="B7" s="15" t="s">
        <v>53</v>
      </c>
      <c r="C7" s="15" t="s">
        <v>53</v>
      </c>
      <c r="D7" s="15" t="s">
        <v>72</v>
      </c>
      <c r="T7" s="22">
        <v>4.0</v>
      </c>
      <c r="V7" s="15" t="s">
        <v>80</v>
      </c>
      <c r="X7" s="15" t="s">
        <v>53</v>
      </c>
      <c r="Y7" s="15">
        <v>5.0</v>
      </c>
      <c r="Z7" s="15">
        <v>2.0</v>
      </c>
      <c r="AA7" s="15">
        <v>2.0</v>
      </c>
      <c r="AB7" s="15">
        <v>4.0</v>
      </c>
      <c r="AC7" s="15">
        <v>3.0</v>
      </c>
      <c r="AD7" s="15">
        <v>4.0</v>
      </c>
      <c r="AE7" s="15">
        <v>2.0</v>
      </c>
      <c r="AF7" s="15">
        <v>4.0</v>
      </c>
      <c r="AG7" s="15">
        <v>3.0</v>
      </c>
      <c r="AH7" s="15">
        <v>3.0</v>
      </c>
      <c r="AI7" s="15">
        <v>3.0</v>
      </c>
      <c r="AJ7" s="15" t="s">
        <v>55</v>
      </c>
      <c r="AK7" s="15" t="s">
        <v>83</v>
      </c>
      <c r="AL7" s="15" t="s">
        <v>57</v>
      </c>
      <c r="AM7" s="15">
        <v>4.0</v>
      </c>
      <c r="AN7" s="15">
        <v>-4.0</v>
      </c>
      <c r="AO7" s="15">
        <v>19.0</v>
      </c>
      <c r="AP7" s="15" t="s">
        <v>67</v>
      </c>
      <c r="AQ7" s="15" t="s">
        <v>60</v>
      </c>
      <c r="AR7" s="15" t="s">
        <v>61</v>
      </c>
      <c r="AS7" s="15" t="s">
        <v>78</v>
      </c>
      <c r="AT7" s="15" t="s">
        <v>84</v>
      </c>
    </row>
    <row r="8">
      <c r="A8" s="14">
        <v>45068.52560101852</v>
      </c>
      <c r="B8" s="15" t="s">
        <v>53</v>
      </c>
      <c r="C8" s="15" t="s">
        <v>53</v>
      </c>
      <c r="D8" s="15" t="s">
        <v>85</v>
      </c>
      <c r="T8" s="22">
        <v>1.0</v>
      </c>
      <c r="W8" s="15" t="s">
        <v>87</v>
      </c>
      <c r="X8" s="15" t="s">
        <v>53</v>
      </c>
      <c r="Y8" s="15">
        <v>5.0</v>
      </c>
      <c r="Z8" s="15">
        <v>1.0</v>
      </c>
      <c r="AA8" s="15">
        <v>1.0</v>
      </c>
      <c r="AB8" s="15">
        <v>5.0</v>
      </c>
      <c r="AC8" s="15">
        <v>3.0</v>
      </c>
      <c r="AD8" s="15">
        <v>4.0</v>
      </c>
      <c r="AE8" s="15">
        <v>1.0</v>
      </c>
      <c r="AF8" s="15">
        <v>3.0</v>
      </c>
      <c r="AG8" s="15">
        <v>3.0</v>
      </c>
      <c r="AH8" s="15">
        <v>3.0</v>
      </c>
      <c r="AI8" s="15">
        <v>3.0</v>
      </c>
      <c r="AJ8" s="15" t="s">
        <v>64</v>
      </c>
      <c r="AK8" s="15" t="s">
        <v>86</v>
      </c>
      <c r="AL8" s="15" t="s">
        <v>57</v>
      </c>
      <c r="AM8" s="15">
        <v>1.0</v>
      </c>
      <c r="AN8" s="15" t="s">
        <v>85</v>
      </c>
      <c r="AO8" s="15">
        <v>23.0</v>
      </c>
      <c r="AP8" s="15" t="s">
        <v>67</v>
      </c>
      <c r="AQ8" s="15" t="s">
        <v>88</v>
      </c>
      <c r="AR8" s="15" t="s">
        <v>61</v>
      </c>
      <c r="AS8" s="15" t="s">
        <v>69</v>
      </c>
      <c r="AT8" s="15" t="s">
        <v>89</v>
      </c>
      <c r="AU8" s="15" t="s">
        <v>90</v>
      </c>
    </row>
    <row r="9">
      <c r="A9" s="14">
        <v>45068.5295165625</v>
      </c>
      <c r="B9" s="15" t="s">
        <v>53</v>
      </c>
      <c r="C9" s="15" t="s">
        <v>53</v>
      </c>
      <c r="D9" s="15">
        <v>-5.0</v>
      </c>
      <c r="E9" s="15" t="s">
        <v>53</v>
      </c>
      <c r="F9" s="15">
        <v>2.0</v>
      </c>
      <c r="G9" s="15">
        <v>4.0</v>
      </c>
      <c r="H9" s="15">
        <v>5.0</v>
      </c>
      <c r="I9" s="15">
        <v>5.0</v>
      </c>
      <c r="J9" s="15">
        <v>1.0</v>
      </c>
      <c r="K9" s="15">
        <v>4.0</v>
      </c>
      <c r="L9" s="15">
        <v>1.0</v>
      </c>
      <c r="M9" s="15">
        <v>4.0</v>
      </c>
      <c r="N9" s="15">
        <v>4.0</v>
      </c>
      <c r="O9" s="15">
        <v>4.0</v>
      </c>
      <c r="P9" s="15">
        <v>4.0</v>
      </c>
      <c r="Q9" s="15" t="s">
        <v>64</v>
      </c>
      <c r="R9" s="15" t="s">
        <v>83</v>
      </c>
      <c r="S9" s="15" t="s">
        <v>55</v>
      </c>
      <c r="T9" s="15">
        <v>4.0</v>
      </c>
      <c r="U9" s="15">
        <v>-5.0</v>
      </c>
      <c r="V9" s="15" t="s">
        <v>80</v>
      </c>
      <c r="AO9" s="15">
        <v>19.0</v>
      </c>
      <c r="AP9" s="15" t="s">
        <v>67</v>
      </c>
      <c r="AQ9" s="15" t="s">
        <v>60</v>
      </c>
      <c r="AR9" s="15" t="s">
        <v>61</v>
      </c>
      <c r="AS9" s="15" t="s">
        <v>69</v>
      </c>
      <c r="AT9" s="15" t="s">
        <v>91</v>
      </c>
    </row>
    <row r="10">
      <c r="A10" s="14">
        <v>45068.52952740741</v>
      </c>
      <c r="B10" s="15" t="s">
        <v>53</v>
      </c>
      <c r="C10" s="15" t="s">
        <v>53</v>
      </c>
      <c r="D10" s="15" t="s">
        <v>65</v>
      </c>
      <c r="T10" s="22">
        <v>3.0</v>
      </c>
      <c r="V10" s="15" t="s">
        <v>80</v>
      </c>
      <c r="X10" s="15" t="s">
        <v>53</v>
      </c>
      <c r="Y10" s="15">
        <v>2.0</v>
      </c>
      <c r="Z10" s="15">
        <v>2.0</v>
      </c>
      <c r="AA10" s="15">
        <v>4.0</v>
      </c>
      <c r="AB10" s="15">
        <v>5.0</v>
      </c>
      <c r="AC10" s="15">
        <v>1.0</v>
      </c>
      <c r="AD10" s="15">
        <v>4.0</v>
      </c>
      <c r="AE10" s="15">
        <v>1.0</v>
      </c>
      <c r="AF10" s="15">
        <v>2.0</v>
      </c>
      <c r="AG10" s="15">
        <v>4.0</v>
      </c>
      <c r="AH10" s="15">
        <v>3.0</v>
      </c>
      <c r="AI10" s="15">
        <v>4.0</v>
      </c>
      <c r="AJ10" s="15" t="s">
        <v>92</v>
      </c>
      <c r="AK10" s="15" t="s">
        <v>83</v>
      </c>
      <c r="AL10" s="15" t="s">
        <v>64</v>
      </c>
      <c r="AM10" s="15">
        <v>3.0</v>
      </c>
      <c r="AN10" s="15">
        <v>-3.0</v>
      </c>
      <c r="AO10" s="15">
        <v>22.0</v>
      </c>
      <c r="AP10" s="15" t="s">
        <v>67</v>
      </c>
      <c r="AQ10" s="15" t="s">
        <v>60</v>
      </c>
      <c r="AR10" s="15" t="s">
        <v>61</v>
      </c>
      <c r="AS10" s="15" t="s">
        <v>93</v>
      </c>
      <c r="AT10" s="15" t="s">
        <v>94</v>
      </c>
    </row>
    <row r="11">
      <c r="A11" s="14">
        <v>45068.53302422454</v>
      </c>
      <c r="B11" s="15" t="s">
        <v>53</v>
      </c>
      <c r="C11" s="15" t="s">
        <v>53</v>
      </c>
      <c r="D11" s="15" t="s">
        <v>54</v>
      </c>
      <c r="T11" s="22">
        <v>3.0</v>
      </c>
      <c r="W11" s="15" t="s">
        <v>73</v>
      </c>
      <c r="X11" s="15" t="s">
        <v>53</v>
      </c>
      <c r="Y11" s="15">
        <v>3.0</v>
      </c>
      <c r="Z11" s="15">
        <v>2.0</v>
      </c>
      <c r="AA11" s="15">
        <v>2.0</v>
      </c>
      <c r="AB11" s="15">
        <v>3.0</v>
      </c>
      <c r="AC11" s="15">
        <v>3.0</v>
      </c>
      <c r="AD11" s="15">
        <v>3.0</v>
      </c>
      <c r="AE11" s="15">
        <v>3.0</v>
      </c>
      <c r="AF11" s="15">
        <v>3.0</v>
      </c>
      <c r="AG11" s="15">
        <v>3.0</v>
      </c>
      <c r="AH11" s="15">
        <v>3.0</v>
      </c>
      <c r="AI11" s="15">
        <v>3.0</v>
      </c>
      <c r="AJ11" s="15" t="s">
        <v>64</v>
      </c>
      <c r="AK11" s="15" t="s">
        <v>55</v>
      </c>
      <c r="AL11" s="15" t="s">
        <v>83</v>
      </c>
      <c r="AM11" s="15">
        <v>3.0</v>
      </c>
      <c r="AN11" s="15" t="s">
        <v>54</v>
      </c>
      <c r="AO11" s="15">
        <v>22.0</v>
      </c>
      <c r="AP11" s="15" t="s">
        <v>67</v>
      </c>
      <c r="AQ11" s="15" t="s">
        <v>60</v>
      </c>
      <c r="AR11" s="15" t="s">
        <v>61</v>
      </c>
      <c r="AS11" s="15" t="s">
        <v>95</v>
      </c>
      <c r="AT11" s="15" t="s">
        <v>96</v>
      </c>
    </row>
    <row r="12">
      <c r="A12" s="14">
        <v>45068.540843587965</v>
      </c>
      <c r="B12" s="15" t="s">
        <v>53</v>
      </c>
      <c r="C12" s="15" t="s">
        <v>97</v>
      </c>
      <c r="D12" s="15">
        <v>-5.0</v>
      </c>
      <c r="E12" s="15" t="s">
        <v>53</v>
      </c>
      <c r="F12" s="15">
        <v>1.0</v>
      </c>
      <c r="G12" s="15">
        <v>5.0</v>
      </c>
      <c r="H12" s="15">
        <v>5.0</v>
      </c>
      <c r="I12" s="15">
        <v>1.0</v>
      </c>
      <c r="J12" s="15">
        <v>1.0</v>
      </c>
      <c r="K12" s="15">
        <v>5.0</v>
      </c>
      <c r="L12" s="15">
        <v>1.0</v>
      </c>
      <c r="M12" s="15">
        <v>5.0</v>
      </c>
      <c r="N12" s="15">
        <v>5.0</v>
      </c>
      <c r="O12" s="15">
        <v>5.0</v>
      </c>
      <c r="P12" s="15">
        <v>5.0</v>
      </c>
      <c r="Q12" s="15" t="s">
        <v>55</v>
      </c>
      <c r="R12" s="15" t="s">
        <v>57</v>
      </c>
      <c r="S12" s="15" t="s">
        <v>64</v>
      </c>
      <c r="T12" s="15">
        <v>5.0</v>
      </c>
      <c r="U12" s="15" t="s">
        <v>65</v>
      </c>
      <c r="W12" s="15" t="s">
        <v>77</v>
      </c>
      <c r="AO12" s="15">
        <v>22.0</v>
      </c>
      <c r="AP12" s="15" t="s">
        <v>59</v>
      </c>
      <c r="AQ12" s="15" t="s">
        <v>98</v>
      </c>
      <c r="AR12" s="15" t="s">
        <v>61</v>
      </c>
      <c r="AS12" s="15" t="s">
        <v>99</v>
      </c>
      <c r="AT12" s="15" t="s">
        <v>100</v>
      </c>
    </row>
    <row r="13">
      <c r="A13" s="14">
        <v>45068.54132726852</v>
      </c>
      <c r="B13" s="15" t="s">
        <v>53</v>
      </c>
      <c r="C13" s="15" t="s">
        <v>97</v>
      </c>
      <c r="D13" s="15">
        <v>-5.0</v>
      </c>
      <c r="E13" s="15" t="s">
        <v>53</v>
      </c>
      <c r="F13" s="15">
        <v>4.0</v>
      </c>
      <c r="G13" s="15">
        <v>2.0</v>
      </c>
      <c r="H13" s="15">
        <v>2.0</v>
      </c>
      <c r="I13" s="15">
        <v>3.0</v>
      </c>
      <c r="J13" s="15">
        <v>1.0</v>
      </c>
      <c r="K13" s="15">
        <v>3.0</v>
      </c>
      <c r="L13" s="15">
        <v>1.0</v>
      </c>
      <c r="M13" s="15">
        <v>3.0</v>
      </c>
      <c r="N13" s="15">
        <v>1.0</v>
      </c>
      <c r="O13" s="15">
        <v>1.0</v>
      </c>
      <c r="P13" s="15">
        <v>4.0</v>
      </c>
      <c r="Q13" s="15" t="s">
        <v>101</v>
      </c>
      <c r="R13" s="15" t="s">
        <v>101</v>
      </c>
      <c r="S13" s="15" t="s">
        <v>101</v>
      </c>
      <c r="T13" s="15">
        <v>4.0</v>
      </c>
      <c r="U13" s="15">
        <v>-5.0</v>
      </c>
      <c r="V13" s="15" t="s">
        <v>102</v>
      </c>
      <c r="AO13" s="15">
        <v>21.0</v>
      </c>
      <c r="AP13" s="15" t="s">
        <v>67</v>
      </c>
      <c r="AQ13" s="15" t="s">
        <v>60</v>
      </c>
      <c r="AR13" s="15" t="s">
        <v>61</v>
      </c>
      <c r="AS13" s="15" t="s">
        <v>69</v>
      </c>
      <c r="AT13" s="15" t="s">
        <v>103</v>
      </c>
    </row>
    <row r="14">
      <c r="A14" s="14">
        <v>45068.54160730324</v>
      </c>
      <c r="B14" s="15" t="s">
        <v>53</v>
      </c>
      <c r="C14" s="15" t="s">
        <v>53</v>
      </c>
      <c r="D14" s="15" t="s">
        <v>104</v>
      </c>
      <c r="T14" s="22">
        <v>4.0</v>
      </c>
      <c r="W14" s="15" t="s">
        <v>77</v>
      </c>
      <c r="X14" s="15" t="s">
        <v>53</v>
      </c>
      <c r="Y14" s="15">
        <v>5.0</v>
      </c>
      <c r="Z14" s="15">
        <v>1.0</v>
      </c>
      <c r="AA14" s="15">
        <v>1.0</v>
      </c>
      <c r="AB14" s="15">
        <v>5.0</v>
      </c>
      <c r="AC14" s="15">
        <v>5.0</v>
      </c>
      <c r="AD14" s="15">
        <v>3.0</v>
      </c>
      <c r="AE14" s="15">
        <v>3.0</v>
      </c>
      <c r="AF14" s="15">
        <v>3.0</v>
      </c>
      <c r="AG14" s="15">
        <v>3.0</v>
      </c>
      <c r="AH14" s="15">
        <v>3.0</v>
      </c>
      <c r="AI14" s="15">
        <v>3.0</v>
      </c>
      <c r="AJ14" s="15" t="s">
        <v>83</v>
      </c>
      <c r="AK14" s="15" t="s">
        <v>92</v>
      </c>
      <c r="AL14" s="15" t="s">
        <v>64</v>
      </c>
      <c r="AM14" s="15">
        <v>4.0</v>
      </c>
      <c r="AN14" s="15" t="s">
        <v>85</v>
      </c>
      <c r="AO14" s="15">
        <v>56.0</v>
      </c>
      <c r="AP14" s="15" t="s">
        <v>59</v>
      </c>
      <c r="AQ14" s="15" t="s">
        <v>60</v>
      </c>
      <c r="AR14" s="15" t="s">
        <v>61</v>
      </c>
      <c r="AS14" s="15" t="s">
        <v>105</v>
      </c>
      <c r="AT14" s="15" t="s">
        <v>106</v>
      </c>
    </row>
    <row r="15">
      <c r="A15" s="14">
        <v>45068.54173378472</v>
      </c>
      <c r="B15" s="15" t="s">
        <v>53</v>
      </c>
      <c r="C15" s="15" t="s">
        <v>53</v>
      </c>
      <c r="D15" s="15" t="s">
        <v>85</v>
      </c>
      <c r="T15" s="22">
        <v>4.0</v>
      </c>
      <c r="W15" s="15" t="s">
        <v>108</v>
      </c>
      <c r="X15" s="15" t="s">
        <v>53</v>
      </c>
      <c r="Y15" s="15">
        <v>4.0</v>
      </c>
      <c r="Z15" s="15">
        <v>4.0</v>
      </c>
      <c r="AA15" s="15">
        <v>4.0</v>
      </c>
      <c r="AB15" s="15">
        <v>4.0</v>
      </c>
      <c r="AC15" s="15">
        <v>4.0</v>
      </c>
      <c r="AD15" s="15">
        <v>4.0</v>
      </c>
      <c r="AE15" s="15">
        <v>4.0</v>
      </c>
      <c r="AF15" s="15">
        <v>4.0</v>
      </c>
      <c r="AG15" s="15">
        <v>4.0</v>
      </c>
      <c r="AH15" s="15">
        <v>4.0</v>
      </c>
      <c r="AI15" s="15">
        <v>4.0</v>
      </c>
      <c r="AJ15" s="15" t="s">
        <v>83</v>
      </c>
      <c r="AK15" s="15" t="s">
        <v>55</v>
      </c>
      <c r="AL15" s="15" t="s">
        <v>107</v>
      </c>
      <c r="AM15" s="15">
        <v>4.0</v>
      </c>
      <c r="AN15" s="15" t="s">
        <v>54</v>
      </c>
      <c r="AO15" s="15">
        <v>30.0</v>
      </c>
      <c r="AP15" s="15" t="s">
        <v>67</v>
      </c>
      <c r="AQ15" s="15" t="s">
        <v>60</v>
      </c>
      <c r="AR15" s="15" t="s">
        <v>109</v>
      </c>
      <c r="AS15" s="15" t="s">
        <v>110</v>
      </c>
      <c r="AT15" s="15" t="s">
        <v>111</v>
      </c>
      <c r="AU15" s="15" t="s">
        <v>112</v>
      </c>
    </row>
    <row r="16">
      <c r="A16" s="14">
        <v>45068.54841581019</v>
      </c>
      <c r="B16" s="15" t="s">
        <v>53</v>
      </c>
      <c r="C16" s="15" t="s">
        <v>53</v>
      </c>
      <c r="D16" s="15">
        <v>-5.0</v>
      </c>
      <c r="E16" s="15" t="s">
        <v>53</v>
      </c>
      <c r="F16" s="15">
        <v>1.0</v>
      </c>
      <c r="G16" s="15">
        <v>3.0</v>
      </c>
      <c r="H16" s="15">
        <v>5.0</v>
      </c>
      <c r="I16" s="15">
        <v>5.0</v>
      </c>
      <c r="J16" s="15">
        <v>1.0</v>
      </c>
      <c r="K16" s="15">
        <v>3.0</v>
      </c>
      <c r="L16" s="15">
        <v>1.0</v>
      </c>
      <c r="M16" s="15">
        <v>3.0</v>
      </c>
      <c r="N16" s="15">
        <v>4.0</v>
      </c>
      <c r="O16" s="15">
        <v>4.0</v>
      </c>
      <c r="P16" s="15">
        <v>4.0</v>
      </c>
      <c r="Q16" s="15" t="s">
        <v>55</v>
      </c>
      <c r="R16" s="15" t="s">
        <v>64</v>
      </c>
      <c r="S16" s="15" t="s">
        <v>83</v>
      </c>
      <c r="T16" s="15">
        <v>4.0</v>
      </c>
      <c r="U16" s="15" t="s">
        <v>72</v>
      </c>
      <c r="W16" s="15" t="s">
        <v>113</v>
      </c>
      <c r="AO16" s="15">
        <v>18.0</v>
      </c>
      <c r="AP16" s="15" t="s">
        <v>59</v>
      </c>
      <c r="AQ16" s="15" t="s">
        <v>98</v>
      </c>
      <c r="AR16" s="15" t="s">
        <v>109</v>
      </c>
      <c r="AS16" s="15" t="s">
        <v>78</v>
      </c>
      <c r="AT16" s="15" t="s">
        <v>114</v>
      </c>
    </row>
    <row r="17">
      <c r="A17" s="14">
        <v>45068.55005159722</v>
      </c>
      <c r="B17" s="15" t="s">
        <v>53</v>
      </c>
      <c r="C17" s="15" t="s">
        <v>53</v>
      </c>
      <c r="D17" s="15" t="s">
        <v>85</v>
      </c>
      <c r="T17" s="22">
        <v>5.0</v>
      </c>
      <c r="V17" s="15" t="s">
        <v>80</v>
      </c>
      <c r="X17" s="15" t="s">
        <v>53</v>
      </c>
      <c r="Y17" s="15">
        <v>1.0</v>
      </c>
      <c r="Z17" s="15">
        <v>5.0</v>
      </c>
      <c r="AA17" s="15">
        <v>5.0</v>
      </c>
      <c r="AB17" s="15">
        <v>5.0</v>
      </c>
      <c r="AC17" s="15">
        <v>1.0</v>
      </c>
      <c r="AD17" s="15">
        <v>5.0</v>
      </c>
      <c r="AE17" s="15">
        <v>1.0</v>
      </c>
      <c r="AF17" s="15">
        <v>4.0</v>
      </c>
      <c r="AG17" s="15">
        <v>5.0</v>
      </c>
      <c r="AH17" s="15">
        <v>5.0</v>
      </c>
      <c r="AI17" s="15">
        <v>5.0</v>
      </c>
      <c r="AJ17" s="15" t="s">
        <v>55</v>
      </c>
      <c r="AK17" s="15" t="s">
        <v>64</v>
      </c>
      <c r="AL17" s="15" t="s">
        <v>92</v>
      </c>
      <c r="AM17" s="15">
        <v>5.0</v>
      </c>
      <c r="AN17" s="15">
        <v>-5.0</v>
      </c>
      <c r="AO17" s="15">
        <v>21.0</v>
      </c>
      <c r="AP17" s="15" t="s">
        <v>67</v>
      </c>
      <c r="AQ17" s="15" t="s">
        <v>60</v>
      </c>
      <c r="AR17" s="15" t="s">
        <v>61</v>
      </c>
      <c r="AS17" s="15" t="s">
        <v>78</v>
      </c>
      <c r="AT17" s="15" t="s">
        <v>115</v>
      </c>
    </row>
    <row r="18">
      <c r="A18" s="14">
        <v>45068.553221793976</v>
      </c>
      <c r="B18" s="15" t="s">
        <v>53</v>
      </c>
      <c r="C18" s="15" t="s">
        <v>53</v>
      </c>
      <c r="D18" s="15">
        <v>-1.0</v>
      </c>
      <c r="E18" s="15" t="s">
        <v>53</v>
      </c>
      <c r="F18" s="15">
        <v>3.0</v>
      </c>
      <c r="G18" s="15">
        <v>3.0</v>
      </c>
      <c r="H18" s="15">
        <v>2.0</v>
      </c>
      <c r="I18" s="15">
        <v>4.0</v>
      </c>
      <c r="J18" s="15">
        <v>3.0</v>
      </c>
      <c r="K18" s="15">
        <v>3.0</v>
      </c>
      <c r="L18" s="15">
        <v>1.0</v>
      </c>
      <c r="M18" s="15">
        <v>2.0</v>
      </c>
      <c r="N18" s="15">
        <v>2.0</v>
      </c>
      <c r="O18" s="15">
        <v>2.0</v>
      </c>
      <c r="P18" s="15">
        <v>2.0</v>
      </c>
      <c r="Q18" s="15" t="s">
        <v>55</v>
      </c>
      <c r="R18" s="15" t="s">
        <v>57</v>
      </c>
      <c r="S18" s="15" t="s">
        <v>92</v>
      </c>
      <c r="T18" s="15">
        <v>4.0</v>
      </c>
      <c r="U18" s="15" t="s">
        <v>72</v>
      </c>
      <c r="W18" s="15" t="s">
        <v>116</v>
      </c>
      <c r="AO18" s="15">
        <v>22.0</v>
      </c>
      <c r="AP18" s="15" t="s">
        <v>67</v>
      </c>
      <c r="AQ18" s="15" t="s">
        <v>60</v>
      </c>
      <c r="AR18" s="15" t="s">
        <v>61</v>
      </c>
      <c r="AS18" s="15" t="s">
        <v>78</v>
      </c>
      <c r="AT18" s="15" t="s">
        <v>117</v>
      </c>
    </row>
    <row r="19">
      <c r="A19" s="14">
        <v>45068.55336268518</v>
      </c>
      <c r="B19" s="15" t="s">
        <v>53</v>
      </c>
      <c r="C19" s="15" t="s">
        <v>53</v>
      </c>
      <c r="D19" s="15">
        <v>-3.0</v>
      </c>
      <c r="E19" s="15" t="s">
        <v>53</v>
      </c>
      <c r="F19" s="15">
        <v>5.0</v>
      </c>
      <c r="G19" s="15">
        <v>1.0</v>
      </c>
      <c r="H19" s="15">
        <v>3.0</v>
      </c>
      <c r="I19" s="15">
        <v>5.0</v>
      </c>
      <c r="J19" s="15">
        <v>2.0</v>
      </c>
      <c r="K19" s="15">
        <v>4.0</v>
      </c>
      <c r="L19" s="15">
        <v>1.0</v>
      </c>
      <c r="M19" s="15">
        <v>3.0</v>
      </c>
      <c r="N19" s="15">
        <v>4.0</v>
      </c>
      <c r="O19" s="15">
        <v>4.0</v>
      </c>
      <c r="P19" s="15">
        <v>5.0</v>
      </c>
      <c r="Q19" s="15" t="s">
        <v>86</v>
      </c>
      <c r="R19" s="15" t="s">
        <v>57</v>
      </c>
      <c r="S19" s="15" t="s">
        <v>56</v>
      </c>
      <c r="T19" s="15">
        <v>4.0</v>
      </c>
      <c r="U19" s="15">
        <v>-3.0</v>
      </c>
      <c r="V19" s="15" t="s">
        <v>66</v>
      </c>
      <c r="AO19" s="15">
        <v>22.0</v>
      </c>
      <c r="AP19" s="15" t="s">
        <v>67</v>
      </c>
      <c r="AQ19" s="15" t="s">
        <v>68</v>
      </c>
      <c r="AR19" s="15" t="s">
        <v>61</v>
      </c>
      <c r="AS19" s="15" t="s">
        <v>93</v>
      </c>
      <c r="AT19" s="15" t="s">
        <v>118</v>
      </c>
      <c r="AU19" s="15" t="s">
        <v>119</v>
      </c>
    </row>
    <row r="20">
      <c r="A20" s="14">
        <v>45068.556389467594</v>
      </c>
      <c r="B20" s="15" t="s">
        <v>53</v>
      </c>
      <c r="C20" s="15" t="s">
        <v>53</v>
      </c>
      <c r="D20" s="15">
        <v>-3.0</v>
      </c>
      <c r="E20" s="15" t="s">
        <v>53</v>
      </c>
      <c r="F20" s="15">
        <v>2.0</v>
      </c>
      <c r="G20" s="15">
        <v>4.0</v>
      </c>
      <c r="H20" s="15">
        <v>4.0</v>
      </c>
      <c r="I20" s="15">
        <v>4.0</v>
      </c>
      <c r="J20" s="15">
        <v>2.0</v>
      </c>
      <c r="K20" s="15">
        <v>5.0</v>
      </c>
      <c r="L20" s="15">
        <v>2.0</v>
      </c>
      <c r="M20" s="15">
        <v>4.0</v>
      </c>
      <c r="N20" s="15">
        <v>4.0</v>
      </c>
      <c r="O20" s="15">
        <v>4.0</v>
      </c>
      <c r="P20" s="15">
        <v>4.0</v>
      </c>
      <c r="Q20" s="15" t="s">
        <v>55</v>
      </c>
      <c r="R20" s="15" t="s">
        <v>56</v>
      </c>
      <c r="S20" s="15" t="s">
        <v>92</v>
      </c>
      <c r="T20" s="15">
        <v>4.0</v>
      </c>
      <c r="U20" s="15" t="s">
        <v>54</v>
      </c>
      <c r="W20" s="15" t="s">
        <v>77</v>
      </c>
      <c r="AO20" s="15">
        <v>20.0</v>
      </c>
      <c r="AP20" s="15" t="s">
        <v>67</v>
      </c>
      <c r="AQ20" s="15" t="s">
        <v>120</v>
      </c>
      <c r="AR20" s="15" t="s">
        <v>109</v>
      </c>
      <c r="AS20" s="15" t="s">
        <v>78</v>
      </c>
      <c r="AT20" s="15" t="s">
        <v>121</v>
      </c>
    </row>
    <row r="21">
      <c r="A21" s="14">
        <v>45068.556929872684</v>
      </c>
      <c r="B21" s="15" t="s">
        <v>53</v>
      </c>
      <c r="C21" s="15" t="s">
        <v>53</v>
      </c>
      <c r="D21" s="15" t="s">
        <v>65</v>
      </c>
      <c r="T21" s="22">
        <v>4.0</v>
      </c>
      <c r="V21" s="15" t="s">
        <v>80</v>
      </c>
      <c r="X21" s="15" t="s">
        <v>53</v>
      </c>
      <c r="Y21" s="15">
        <v>4.0</v>
      </c>
      <c r="Z21" s="15">
        <v>2.0</v>
      </c>
      <c r="AA21" s="15">
        <v>2.0</v>
      </c>
      <c r="AB21" s="15">
        <v>3.0</v>
      </c>
      <c r="AC21" s="15">
        <v>2.0</v>
      </c>
      <c r="AD21" s="15">
        <v>5.0</v>
      </c>
      <c r="AE21" s="15">
        <v>1.0</v>
      </c>
      <c r="AF21" s="15">
        <v>4.0</v>
      </c>
      <c r="AG21" s="15">
        <v>4.0</v>
      </c>
      <c r="AH21" s="15">
        <v>4.0</v>
      </c>
      <c r="AI21" s="15">
        <v>4.0</v>
      </c>
      <c r="AJ21" s="15" t="s">
        <v>55</v>
      </c>
      <c r="AK21" s="15" t="s">
        <v>64</v>
      </c>
      <c r="AL21" s="15" t="s">
        <v>83</v>
      </c>
      <c r="AM21" s="15">
        <v>4.0</v>
      </c>
      <c r="AN21" s="15">
        <v>-2.0</v>
      </c>
      <c r="AO21" s="15">
        <v>22.0</v>
      </c>
      <c r="AP21" s="15" t="s">
        <v>67</v>
      </c>
      <c r="AQ21" s="15" t="s">
        <v>122</v>
      </c>
      <c r="AR21" s="15" t="s">
        <v>61</v>
      </c>
      <c r="AS21" s="15" t="s">
        <v>78</v>
      </c>
      <c r="AT21" s="15" t="s">
        <v>123</v>
      </c>
    </row>
    <row r="22">
      <c r="A22" s="14">
        <v>45068.55738775463</v>
      </c>
      <c r="B22" s="15" t="s">
        <v>53</v>
      </c>
      <c r="C22" s="15" t="s">
        <v>53</v>
      </c>
      <c r="D22" s="15">
        <v>-4.0</v>
      </c>
      <c r="E22" s="15" t="s">
        <v>53</v>
      </c>
      <c r="F22" s="15">
        <v>5.0</v>
      </c>
      <c r="G22" s="15">
        <v>1.0</v>
      </c>
      <c r="H22" s="15">
        <v>4.0</v>
      </c>
      <c r="I22" s="15">
        <v>4.0</v>
      </c>
      <c r="J22" s="15">
        <v>4.0</v>
      </c>
      <c r="K22" s="15">
        <v>5.0</v>
      </c>
      <c r="L22" s="15">
        <v>1.0</v>
      </c>
      <c r="M22" s="15">
        <v>1.0</v>
      </c>
      <c r="N22" s="15">
        <v>1.0</v>
      </c>
      <c r="O22" s="15">
        <v>1.0</v>
      </c>
      <c r="P22" s="15">
        <v>1.0</v>
      </c>
      <c r="Q22" s="15" t="s">
        <v>57</v>
      </c>
      <c r="R22" s="15" t="s">
        <v>86</v>
      </c>
      <c r="S22" s="15" t="s">
        <v>64</v>
      </c>
      <c r="T22" s="15">
        <v>4.0</v>
      </c>
      <c r="U22" s="15" t="s">
        <v>72</v>
      </c>
      <c r="W22" s="15" t="s">
        <v>77</v>
      </c>
      <c r="AO22" s="15">
        <v>21.0</v>
      </c>
      <c r="AP22" s="15" t="s">
        <v>67</v>
      </c>
      <c r="AQ22" s="15" t="s">
        <v>60</v>
      </c>
      <c r="AR22" s="15" t="s">
        <v>61</v>
      </c>
      <c r="AS22" s="15" t="s">
        <v>93</v>
      </c>
      <c r="AT22" s="15" t="s">
        <v>124</v>
      </c>
    </row>
    <row r="23">
      <c r="A23" s="14">
        <v>45068.55774172454</v>
      </c>
      <c r="B23" s="15" t="s">
        <v>53</v>
      </c>
      <c r="C23" s="15" t="s">
        <v>53</v>
      </c>
      <c r="D23" s="15">
        <v>-3.0</v>
      </c>
      <c r="E23" s="15" t="s">
        <v>53</v>
      </c>
      <c r="F23" s="15">
        <v>3.0</v>
      </c>
      <c r="G23" s="15">
        <v>3.0</v>
      </c>
      <c r="H23" s="15">
        <v>3.0</v>
      </c>
      <c r="I23" s="15">
        <v>4.0</v>
      </c>
      <c r="J23" s="15">
        <v>3.0</v>
      </c>
      <c r="K23" s="15">
        <v>4.0</v>
      </c>
      <c r="L23" s="15">
        <v>2.0</v>
      </c>
      <c r="M23" s="15">
        <v>4.0</v>
      </c>
      <c r="N23" s="15">
        <v>4.0</v>
      </c>
      <c r="O23" s="15">
        <v>4.0</v>
      </c>
      <c r="P23" s="15">
        <v>4.0</v>
      </c>
      <c r="Q23" s="15" t="s">
        <v>55</v>
      </c>
      <c r="R23" s="15" t="s">
        <v>92</v>
      </c>
      <c r="S23" s="15" t="s">
        <v>56</v>
      </c>
      <c r="T23" s="15">
        <v>4.0</v>
      </c>
      <c r="U23" s="15">
        <v>-5.0</v>
      </c>
      <c r="V23" s="15" t="s">
        <v>80</v>
      </c>
      <c r="AO23" s="15">
        <v>27.0</v>
      </c>
      <c r="AP23" s="15" t="s">
        <v>67</v>
      </c>
      <c r="AQ23" s="15" t="s">
        <v>68</v>
      </c>
      <c r="AR23" s="15" t="s">
        <v>61</v>
      </c>
      <c r="AS23" s="15" t="s">
        <v>125</v>
      </c>
      <c r="AT23" s="15" t="s">
        <v>126</v>
      </c>
    </row>
    <row r="24">
      <c r="A24" s="14">
        <v>45068.55893570602</v>
      </c>
      <c r="B24" s="15" t="s">
        <v>53</v>
      </c>
      <c r="C24" s="15" t="s">
        <v>53</v>
      </c>
      <c r="D24" s="15">
        <v>-3.0</v>
      </c>
      <c r="E24" s="15" t="s">
        <v>53</v>
      </c>
      <c r="F24" s="15">
        <v>3.0</v>
      </c>
      <c r="G24" s="15">
        <v>3.0</v>
      </c>
      <c r="H24" s="15">
        <v>3.0</v>
      </c>
      <c r="I24" s="15">
        <v>4.0</v>
      </c>
      <c r="J24" s="15">
        <v>3.0</v>
      </c>
      <c r="K24" s="15">
        <v>4.0</v>
      </c>
      <c r="L24" s="15">
        <v>2.0</v>
      </c>
      <c r="M24" s="15">
        <v>4.0</v>
      </c>
      <c r="N24" s="15">
        <v>4.0</v>
      </c>
      <c r="O24" s="15">
        <v>4.0</v>
      </c>
      <c r="P24" s="15">
        <v>4.0</v>
      </c>
      <c r="Q24" s="15" t="s">
        <v>55</v>
      </c>
      <c r="R24" s="15" t="s">
        <v>92</v>
      </c>
      <c r="S24" s="15" t="s">
        <v>56</v>
      </c>
      <c r="T24" s="15">
        <v>4.0</v>
      </c>
      <c r="U24" s="15">
        <v>-5.0</v>
      </c>
      <c r="V24" s="15" t="s">
        <v>80</v>
      </c>
      <c r="AO24" s="15">
        <v>35.0</v>
      </c>
      <c r="AP24" s="15" t="s">
        <v>59</v>
      </c>
      <c r="AQ24" s="15" t="s">
        <v>68</v>
      </c>
      <c r="AR24" s="15" t="s">
        <v>61</v>
      </c>
      <c r="AS24" s="15" t="s">
        <v>125</v>
      </c>
      <c r="AT24" s="15" t="s">
        <v>127</v>
      </c>
    </row>
    <row r="25">
      <c r="A25" s="14">
        <v>45068.56038248843</v>
      </c>
      <c r="B25" s="15" t="s">
        <v>53</v>
      </c>
      <c r="C25" s="15" t="s">
        <v>53</v>
      </c>
      <c r="D25" s="15" t="s">
        <v>104</v>
      </c>
      <c r="T25" s="22">
        <v>5.0</v>
      </c>
      <c r="W25" s="15" t="s">
        <v>113</v>
      </c>
      <c r="X25" s="15" t="s">
        <v>53</v>
      </c>
      <c r="Y25" s="15">
        <v>4.0</v>
      </c>
      <c r="Z25" s="15">
        <v>2.0</v>
      </c>
      <c r="AA25" s="15">
        <v>1.0</v>
      </c>
      <c r="AB25" s="15">
        <v>5.0</v>
      </c>
      <c r="AC25" s="15">
        <v>3.0</v>
      </c>
      <c r="AD25" s="15">
        <v>5.0</v>
      </c>
      <c r="AE25" s="15">
        <v>1.0</v>
      </c>
      <c r="AF25" s="15">
        <v>5.0</v>
      </c>
      <c r="AG25" s="15">
        <v>5.0</v>
      </c>
      <c r="AH25" s="15">
        <v>5.0</v>
      </c>
      <c r="AI25" s="15">
        <v>5.0</v>
      </c>
      <c r="AJ25" s="15" t="s">
        <v>55</v>
      </c>
      <c r="AK25" s="15" t="s">
        <v>83</v>
      </c>
      <c r="AL25" s="15" t="s">
        <v>56</v>
      </c>
      <c r="AM25" s="15">
        <v>5.0</v>
      </c>
      <c r="AN25" s="15" t="s">
        <v>54</v>
      </c>
      <c r="AO25" s="15">
        <v>20.0</v>
      </c>
      <c r="AP25" s="15" t="s">
        <v>67</v>
      </c>
      <c r="AQ25" s="15" t="s">
        <v>122</v>
      </c>
      <c r="AR25" s="15" t="s">
        <v>61</v>
      </c>
      <c r="AS25" s="15" t="s">
        <v>78</v>
      </c>
      <c r="AT25" s="15" t="s">
        <v>128</v>
      </c>
      <c r="AU25" s="15" t="s">
        <v>129</v>
      </c>
    </row>
    <row r="26">
      <c r="A26" s="14">
        <v>45068.564879513884</v>
      </c>
      <c r="B26" s="15" t="s">
        <v>53</v>
      </c>
      <c r="C26" s="15" t="s">
        <v>53</v>
      </c>
      <c r="D26" s="15" t="s">
        <v>85</v>
      </c>
      <c r="T26" s="22">
        <v>3.0</v>
      </c>
      <c r="W26" s="15" t="s">
        <v>130</v>
      </c>
      <c r="X26" s="15" t="s">
        <v>53</v>
      </c>
      <c r="Y26" s="15">
        <v>3.0</v>
      </c>
      <c r="Z26" s="15">
        <v>3.0</v>
      </c>
      <c r="AA26" s="15">
        <v>3.0</v>
      </c>
      <c r="AB26" s="15">
        <v>3.0</v>
      </c>
      <c r="AC26" s="15">
        <v>2.0</v>
      </c>
      <c r="AD26" s="15">
        <v>4.0</v>
      </c>
      <c r="AE26" s="15">
        <v>1.0</v>
      </c>
      <c r="AF26" s="15">
        <v>3.0</v>
      </c>
      <c r="AG26" s="15">
        <v>3.0</v>
      </c>
      <c r="AH26" s="15">
        <v>2.0</v>
      </c>
      <c r="AI26" s="15">
        <v>3.0</v>
      </c>
      <c r="AJ26" s="15" t="s">
        <v>55</v>
      </c>
      <c r="AK26" s="15" t="s">
        <v>56</v>
      </c>
      <c r="AL26" s="15" t="s">
        <v>83</v>
      </c>
      <c r="AM26" s="15">
        <v>3.0</v>
      </c>
      <c r="AN26" s="15" t="s">
        <v>72</v>
      </c>
      <c r="AO26" s="15">
        <v>23.0</v>
      </c>
      <c r="AP26" s="15" t="s">
        <v>67</v>
      </c>
      <c r="AQ26" s="15" t="s">
        <v>68</v>
      </c>
      <c r="AR26" s="15" t="s">
        <v>61</v>
      </c>
      <c r="AS26" s="15" t="s">
        <v>93</v>
      </c>
      <c r="AT26" s="15" t="s">
        <v>131</v>
      </c>
    </row>
    <row r="27">
      <c r="A27" s="14">
        <v>45068.56563456019</v>
      </c>
      <c r="B27" s="15" t="s">
        <v>53</v>
      </c>
      <c r="C27" s="15" t="s">
        <v>53</v>
      </c>
      <c r="D27" s="15" t="s">
        <v>54</v>
      </c>
      <c r="T27" s="22">
        <v>5.0</v>
      </c>
      <c r="W27" s="15" t="s">
        <v>116</v>
      </c>
      <c r="X27" s="15" t="s">
        <v>53</v>
      </c>
      <c r="Y27" s="15">
        <v>5.0</v>
      </c>
      <c r="Z27" s="15">
        <v>2.0</v>
      </c>
      <c r="AA27" s="15">
        <v>1.0</v>
      </c>
      <c r="AB27" s="15">
        <v>3.0</v>
      </c>
      <c r="AC27" s="15">
        <v>3.0</v>
      </c>
      <c r="AD27" s="15">
        <v>5.0</v>
      </c>
      <c r="AE27" s="15">
        <v>3.0</v>
      </c>
      <c r="AF27" s="15">
        <v>4.0</v>
      </c>
      <c r="AG27" s="15">
        <v>4.0</v>
      </c>
      <c r="AH27" s="15">
        <v>5.0</v>
      </c>
      <c r="AI27" s="15">
        <v>5.0</v>
      </c>
      <c r="AJ27" s="15" t="s">
        <v>92</v>
      </c>
      <c r="AK27" s="15" t="s">
        <v>55</v>
      </c>
      <c r="AL27" s="15" t="s">
        <v>57</v>
      </c>
      <c r="AM27" s="15">
        <v>5.0</v>
      </c>
      <c r="AN27" s="15" t="s">
        <v>54</v>
      </c>
      <c r="AO27" s="15">
        <v>21.0</v>
      </c>
      <c r="AP27" s="15" t="s">
        <v>59</v>
      </c>
      <c r="AQ27" s="15" t="s">
        <v>98</v>
      </c>
      <c r="AR27" s="15" t="s">
        <v>61</v>
      </c>
      <c r="AS27" s="15" t="s">
        <v>110</v>
      </c>
      <c r="AT27" s="15" t="s">
        <v>132</v>
      </c>
    </row>
    <row r="28">
      <c r="A28" s="14">
        <v>45068.56571646991</v>
      </c>
      <c r="B28" s="15" t="s">
        <v>53</v>
      </c>
      <c r="C28" s="15" t="s">
        <v>53</v>
      </c>
      <c r="D28" s="15" t="s">
        <v>65</v>
      </c>
      <c r="T28" s="22">
        <v>4.0</v>
      </c>
      <c r="V28" s="15" t="s">
        <v>80</v>
      </c>
      <c r="X28" s="15" t="s">
        <v>53</v>
      </c>
      <c r="Y28" s="15">
        <v>3.0</v>
      </c>
      <c r="Z28" s="15">
        <v>4.0</v>
      </c>
      <c r="AA28" s="15">
        <v>4.0</v>
      </c>
      <c r="AB28" s="15">
        <v>5.0</v>
      </c>
      <c r="AC28" s="15">
        <v>1.0</v>
      </c>
      <c r="AD28" s="15">
        <v>5.0</v>
      </c>
      <c r="AE28" s="15">
        <v>1.0</v>
      </c>
      <c r="AF28" s="15">
        <v>3.0</v>
      </c>
      <c r="AG28" s="15">
        <v>5.0</v>
      </c>
      <c r="AH28" s="15">
        <v>5.0</v>
      </c>
      <c r="AI28" s="15">
        <v>5.0</v>
      </c>
      <c r="AJ28" s="15" t="s">
        <v>55</v>
      </c>
      <c r="AK28" s="15" t="s">
        <v>83</v>
      </c>
      <c r="AL28" s="15" t="s">
        <v>56</v>
      </c>
      <c r="AM28" s="15">
        <v>4.0</v>
      </c>
      <c r="AN28" s="15">
        <v>-5.0</v>
      </c>
      <c r="AO28" s="15">
        <v>23.0</v>
      </c>
      <c r="AP28" s="15" t="s">
        <v>67</v>
      </c>
      <c r="AQ28" s="15" t="s">
        <v>60</v>
      </c>
      <c r="AR28" s="15" t="s">
        <v>61</v>
      </c>
      <c r="AS28" s="15" t="s">
        <v>78</v>
      </c>
      <c r="AT28" s="15" t="s">
        <v>133</v>
      </c>
    </row>
    <row r="29">
      <c r="A29" s="14">
        <v>45068.565897569446</v>
      </c>
      <c r="B29" s="15" t="s">
        <v>53</v>
      </c>
      <c r="C29" s="15" t="s">
        <v>53</v>
      </c>
      <c r="D29" s="15" t="s">
        <v>54</v>
      </c>
      <c r="T29" s="22">
        <v>3.0</v>
      </c>
      <c r="W29" s="15" t="s">
        <v>73</v>
      </c>
      <c r="X29" s="15" t="s">
        <v>53</v>
      </c>
      <c r="Y29" s="15">
        <v>5.0</v>
      </c>
      <c r="Z29" s="15">
        <v>1.0</v>
      </c>
      <c r="AA29" s="15">
        <v>1.0</v>
      </c>
      <c r="AB29" s="15">
        <v>4.0</v>
      </c>
      <c r="AC29" s="15">
        <v>4.0</v>
      </c>
      <c r="AD29" s="15">
        <v>5.0</v>
      </c>
      <c r="AE29" s="15">
        <v>2.0</v>
      </c>
      <c r="AF29" s="15">
        <v>4.0</v>
      </c>
      <c r="AG29" s="15">
        <v>5.0</v>
      </c>
      <c r="AH29" s="15">
        <v>4.0</v>
      </c>
      <c r="AI29" s="15">
        <v>4.0</v>
      </c>
      <c r="AJ29" s="15" t="s">
        <v>55</v>
      </c>
      <c r="AK29" s="15" t="s">
        <v>57</v>
      </c>
      <c r="AL29" s="15" t="s">
        <v>92</v>
      </c>
      <c r="AM29" s="15">
        <v>3.0</v>
      </c>
      <c r="AN29" s="15" t="s">
        <v>54</v>
      </c>
      <c r="AO29" s="15">
        <v>19.0</v>
      </c>
      <c r="AP29" s="15" t="s">
        <v>67</v>
      </c>
      <c r="AQ29" s="15" t="s">
        <v>60</v>
      </c>
      <c r="AR29" s="15" t="s">
        <v>61</v>
      </c>
      <c r="AS29" s="15" t="s">
        <v>69</v>
      </c>
      <c r="AT29" s="15" t="s">
        <v>134</v>
      </c>
      <c r="AU29" s="15" t="s">
        <v>129</v>
      </c>
    </row>
    <row r="30">
      <c r="A30" s="14">
        <v>45068.56602978009</v>
      </c>
      <c r="B30" s="15" t="s">
        <v>53</v>
      </c>
      <c r="C30" s="15" t="s">
        <v>53</v>
      </c>
      <c r="D30" s="15" t="s">
        <v>104</v>
      </c>
      <c r="T30" s="22">
        <v>4.0</v>
      </c>
      <c r="V30" s="15" t="s">
        <v>80</v>
      </c>
      <c r="X30" s="15" t="s">
        <v>53</v>
      </c>
      <c r="Y30" s="15">
        <v>5.0</v>
      </c>
      <c r="Z30" s="15">
        <v>4.0</v>
      </c>
      <c r="AA30" s="15">
        <v>4.0</v>
      </c>
      <c r="AB30" s="15">
        <v>5.0</v>
      </c>
      <c r="AC30" s="15">
        <v>1.0</v>
      </c>
      <c r="AD30" s="15">
        <v>4.0</v>
      </c>
      <c r="AE30" s="15">
        <v>1.0</v>
      </c>
      <c r="AF30" s="15">
        <v>4.0</v>
      </c>
      <c r="AG30" s="15">
        <v>5.0</v>
      </c>
      <c r="AH30" s="15">
        <v>5.0</v>
      </c>
      <c r="AI30" s="15">
        <v>3.0</v>
      </c>
      <c r="AJ30" s="15" t="s">
        <v>64</v>
      </c>
      <c r="AK30" s="15" t="s">
        <v>55</v>
      </c>
      <c r="AL30" s="15" t="s">
        <v>83</v>
      </c>
      <c r="AM30" s="15">
        <v>4.0</v>
      </c>
      <c r="AN30" s="15">
        <v>-5.0</v>
      </c>
      <c r="AO30" s="15">
        <v>23.0</v>
      </c>
      <c r="AP30" s="15" t="s">
        <v>67</v>
      </c>
      <c r="AQ30" s="15" t="s">
        <v>60</v>
      </c>
      <c r="AR30" s="15" t="s">
        <v>61</v>
      </c>
      <c r="AS30" s="15" t="s">
        <v>78</v>
      </c>
      <c r="AT30" s="15" t="s">
        <v>135</v>
      </c>
    </row>
    <row r="31">
      <c r="A31" s="14">
        <v>45068.57265412037</v>
      </c>
      <c r="B31" s="15" t="s">
        <v>53</v>
      </c>
      <c r="C31" s="15" t="s">
        <v>53</v>
      </c>
      <c r="D31" s="15" t="s">
        <v>54</v>
      </c>
      <c r="T31" s="22">
        <v>3.0</v>
      </c>
      <c r="V31" s="15" t="s">
        <v>66</v>
      </c>
      <c r="X31" s="15" t="s">
        <v>53</v>
      </c>
      <c r="Y31" s="15">
        <v>4.0</v>
      </c>
      <c r="Z31" s="15">
        <v>2.0</v>
      </c>
      <c r="AA31" s="15">
        <v>2.0</v>
      </c>
      <c r="AB31" s="15">
        <v>4.0</v>
      </c>
      <c r="AC31" s="15">
        <v>3.0</v>
      </c>
      <c r="AD31" s="15">
        <v>4.0</v>
      </c>
      <c r="AE31" s="15">
        <v>1.0</v>
      </c>
      <c r="AF31" s="15">
        <v>3.0</v>
      </c>
      <c r="AG31" s="15">
        <v>4.0</v>
      </c>
      <c r="AH31" s="15">
        <v>4.0</v>
      </c>
      <c r="AI31" s="15">
        <v>4.0</v>
      </c>
      <c r="AJ31" s="15" t="s">
        <v>55</v>
      </c>
      <c r="AK31" s="15" t="s">
        <v>56</v>
      </c>
      <c r="AL31" s="15" t="s">
        <v>64</v>
      </c>
      <c r="AM31" s="15">
        <v>3.0</v>
      </c>
      <c r="AN31" s="15">
        <v>-2.0</v>
      </c>
      <c r="AO31" s="15">
        <v>23.0</v>
      </c>
      <c r="AP31" s="15" t="s">
        <v>67</v>
      </c>
      <c r="AQ31" s="15" t="s">
        <v>122</v>
      </c>
      <c r="AR31" s="15" t="s">
        <v>61</v>
      </c>
      <c r="AS31" s="15" t="s">
        <v>99</v>
      </c>
      <c r="AT31" s="15" t="s">
        <v>136</v>
      </c>
    </row>
    <row r="32">
      <c r="A32" s="14">
        <v>45068.57499097222</v>
      </c>
      <c r="B32" s="15" t="s">
        <v>53</v>
      </c>
      <c r="C32" s="15" t="s">
        <v>53</v>
      </c>
      <c r="D32" s="15">
        <v>-5.0</v>
      </c>
      <c r="E32" s="15" t="s">
        <v>53</v>
      </c>
      <c r="F32" s="15">
        <v>2.0</v>
      </c>
      <c r="G32" s="15">
        <v>4.0</v>
      </c>
      <c r="H32" s="15">
        <v>3.0</v>
      </c>
      <c r="I32" s="15">
        <v>5.0</v>
      </c>
      <c r="J32" s="15">
        <v>1.0</v>
      </c>
      <c r="K32" s="15">
        <v>5.0</v>
      </c>
      <c r="L32" s="15">
        <v>1.0</v>
      </c>
      <c r="M32" s="15">
        <v>4.0</v>
      </c>
      <c r="N32" s="15">
        <v>4.0</v>
      </c>
      <c r="O32" s="15">
        <v>2.0</v>
      </c>
      <c r="P32" s="15">
        <v>4.0</v>
      </c>
      <c r="Q32" s="15" t="s">
        <v>55</v>
      </c>
      <c r="R32" s="15" t="s">
        <v>56</v>
      </c>
      <c r="S32" s="15" t="s">
        <v>64</v>
      </c>
      <c r="T32" s="15">
        <v>5.0</v>
      </c>
      <c r="U32" s="15">
        <v>-4.0</v>
      </c>
      <c r="V32" s="15" t="s">
        <v>80</v>
      </c>
      <c r="AO32" s="15">
        <v>21.0</v>
      </c>
      <c r="AP32" s="15" t="s">
        <v>67</v>
      </c>
      <c r="AQ32" s="15" t="s">
        <v>137</v>
      </c>
      <c r="AR32" s="15" t="s">
        <v>61</v>
      </c>
      <c r="AS32" s="15" t="s">
        <v>138</v>
      </c>
      <c r="AT32" s="15" t="s">
        <v>139</v>
      </c>
    </row>
    <row r="33">
      <c r="A33" s="14">
        <v>45068.577686296296</v>
      </c>
      <c r="B33" s="15" t="s">
        <v>53</v>
      </c>
      <c r="C33" s="15" t="s">
        <v>53</v>
      </c>
      <c r="D33" s="15" t="s">
        <v>72</v>
      </c>
      <c r="T33" s="22">
        <v>5.0</v>
      </c>
      <c r="W33" s="15" t="s">
        <v>77</v>
      </c>
      <c r="X33" s="15" t="s">
        <v>53</v>
      </c>
      <c r="Y33" s="15">
        <v>5.0</v>
      </c>
      <c r="Z33" s="15">
        <v>2.0</v>
      </c>
      <c r="AA33" s="15">
        <v>2.0</v>
      </c>
      <c r="AB33" s="15">
        <v>4.0</v>
      </c>
      <c r="AC33" s="15">
        <v>4.0</v>
      </c>
      <c r="AD33" s="15">
        <v>4.0</v>
      </c>
      <c r="AE33" s="15">
        <v>1.0</v>
      </c>
      <c r="AF33" s="15">
        <v>4.0</v>
      </c>
      <c r="AG33" s="15">
        <v>4.0</v>
      </c>
      <c r="AH33" s="15">
        <v>4.0</v>
      </c>
      <c r="AI33" s="15">
        <v>4.0</v>
      </c>
      <c r="AJ33" s="15" t="s">
        <v>92</v>
      </c>
      <c r="AK33" s="15" t="s">
        <v>83</v>
      </c>
      <c r="AL33" s="15" t="s">
        <v>55</v>
      </c>
      <c r="AM33" s="15">
        <v>5.0</v>
      </c>
      <c r="AN33" s="15" t="s">
        <v>65</v>
      </c>
      <c r="AO33" s="15">
        <v>30.0</v>
      </c>
      <c r="AP33" s="15" t="s">
        <v>59</v>
      </c>
      <c r="AQ33" s="15" t="s">
        <v>60</v>
      </c>
      <c r="AR33" s="15" t="s">
        <v>140</v>
      </c>
      <c r="AS33" s="15" t="s">
        <v>78</v>
      </c>
      <c r="AT33" s="15" t="s">
        <v>141</v>
      </c>
      <c r="AU33" s="15" t="s">
        <v>129</v>
      </c>
    </row>
    <row r="34">
      <c r="A34" s="14">
        <v>45068.57822905092</v>
      </c>
      <c r="B34" s="15" t="s">
        <v>53</v>
      </c>
      <c r="C34" s="15" t="s">
        <v>53</v>
      </c>
      <c r="D34" s="15">
        <v>-3.0</v>
      </c>
      <c r="E34" s="15" t="s">
        <v>53</v>
      </c>
      <c r="F34" s="15">
        <v>5.0</v>
      </c>
      <c r="G34" s="15">
        <v>1.0</v>
      </c>
      <c r="H34" s="15">
        <v>3.0</v>
      </c>
      <c r="I34" s="15">
        <v>5.0</v>
      </c>
      <c r="J34" s="15">
        <v>2.0</v>
      </c>
      <c r="K34" s="15">
        <v>4.0</v>
      </c>
      <c r="L34" s="15">
        <v>1.0</v>
      </c>
      <c r="M34" s="15">
        <v>3.0</v>
      </c>
      <c r="N34" s="15">
        <v>4.0</v>
      </c>
      <c r="O34" s="15">
        <v>4.0</v>
      </c>
      <c r="P34" s="15">
        <v>4.0</v>
      </c>
      <c r="Q34" s="15" t="s">
        <v>55</v>
      </c>
      <c r="R34" s="15" t="s">
        <v>56</v>
      </c>
      <c r="S34" s="15" t="s">
        <v>64</v>
      </c>
      <c r="T34" s="15">
        <v>5.0</v>
      </c>
      <c r="U34" s="15" t="s">
        <v>72</v>
      </c>
      <c r="W34" s="15" t="s">
        <v>113</v>
      </c>
      <c r="AO34" s="15">
        <v>22.0</v>
      </c>
      <c r="AP34" s="15" t="s">
        <v>67</v>
      </c>
      <c r="AQ34" s="15" t="s">
        <v>60</v>
      </c>
      <c r="AR34" s="15" t="s">
        <v>61</v>
      </c>
      <c r="AS34" s="15" t="s">
        <v>78</v>
      </c>
      <c r="AT34" s="15" t="s">
        <v>142</v>
      </c>
      <c r="AU34" s="15" t="s">
        <v>129</v>
      </c>
    </row>
    <row r="35">
      <c r="A35" s="14">
        <v>45068.578501805554</v>
      </c>
      <c r="B35" s="15" t="s">
        <v>53</v>
      </c>
      <c r="C35" s="15" t="s">
        <v>53</v>
      </c>
      <c r="D35" s="15" t="s">
        <v>65</v>
      </c>
      <c r="T35" s="22">
        <v>5.0</v>
      </c>
      <c r="V35" s="15" t="s">
        <v>58</v>
      </c>
      <c r="X35" s="15" t="s">
        <v>53</v>
      </c>
      <c r="Y35" s="15">
        <v>2.0</v>
      </c>
      <c r="Z35" s="15">
        <v>3.0</v>
      </c>
      <c r="AA35" s="15">
        <v>4.0</v>
      </c>
      <c r="AB35" s="15">
        <v>5.0</v>
      </c>
      <c r="AC35" s="15">
        <v>2.0</v>
      </c>
      <c r="AD35" s="15">
        <v>4.0</v>
      </c>
      <c r="AE35" s="15">
        <v>1.0</v>
      </c>
      <c r="AF35" s="15">
        <v>2.0</v>
      </c>
      <c r="AG35" s="15">
        <v>3.0</v>
      </c>
      <c r="AH35" s="15">
        <v>2.0</v>
      </c>
      <c r="AI35" s="15">
        <v>2.0</v>
      </c>
      <c r="AJ35" s="15" t="s">
        <v>57</v>
      </c>
      <c r="AK35" s="15" t="s">
        <v>56</v>
      </c>
      <c r="AL35" s="15" t="s">
        <v>83</v>
      </c>
      <c r="AM35" s="15">
        <v>5.0</v>
      </c>
      <c r="AN35" s="15">
        <v>-1.0</v>
      </c>
      <c r="AO35" s="15">
        <v>22.0</v>
      </c>
      <c r="AP35" s="15" t="s">
        <v>67</v>
      </c>
      <c r="AQ35" s="15" t="s">
        <v>120</v>
      </c>
      <c r="AR35" s="15" t="s">
        <v>61</v>
      </c>
      <c r="AS35" s="15" t="s">
        <v>78</v>
      </c>
      <c r="AT35" s="15" t="s">
        <v>143</v>
      </c>
    </row>
    <row r="36">
      <c r="A36" s="14">
        <v>45068.578506550926</v>
      </c>
      <c r="B36" s="15" t="s">
        <v>53</v>
      </c>
      <c r="C36" s="15" t="s">
        <v>53</v>
      </c>
      <c r="D36" s="15" t="s">
        <v>85</v>
      </c>
      <c r="T36" s="22">
        <v>4.0</v>
      </c>
      <c r="V36" s="15" t="s">
        <v>80</v>
      </c>
      <c r="X36" s="15" t="s">
        <v>53</v>
      </c>
      <c r="Y36" s="15">
        <v>4.0</v>
      </c>
      <c r="Z36" s="15">
        <v>2.0</v>
      </c>
      <c r="AA36" s="15">
        <v>2.0</v>
      </c>
      <c r="AB36" s="15">
        <v>5.0</v>
      </c>
      <c r="AC36" s="15">
        <v>3.0</v>
      </c>
      <c r="AD36" s="15">
        <v>5.0</v>
      </c>
      <c r="AE36" s="15">
        <v>2.0</v>
      </c>
      <c r="AF36" s="15">
        <v>4.0</v>
      </c>
      <c r="AG36" s="15">
        <v>4.0</v>
      </c>
      <c r="AH36" s="15">
        <v>4.0</v>
      </c>
      <c r="AI36" s="15">
        <v>4.0</v>
      </c>
      <c r="AJ36" s="15" t="s">
        <v>64</v>
      </c>
      <c r="AK36" s="15" t="s">
        <v>55</v>
      </c>
      <c r="AL36" s="15" t="s">
        <v>92</v>
      </c>
      <c r="AM36" s="15">
        <v>4.0</v>
      </c>
      <c r="AN36" s="15">
        <v>-2.0</v>
      </c>
      <c r="AO36" s="15">
        <v>19.0</v>
      </c>
      <c r="AP36" s="15" t="s">
        <v>67</v>
      </c>
      <c r="AQ36" s="15" t="s">
        <v>68</v>
      </c>
      <c r="AR36" s="15" t="s">
        <v>61</v>
      </c>
      <c r="AS36" s="15" t="s">
        <v>99</v>
      </c>
      <c r="AT36" s="15" t="s">
        <v>144</v>
      </c>
    </row>
    <row r="37">
      <c r="A37" s="14">
        <v>45068.58001508102</v>
      </c>
      <c r="B37" s="15" t="s">
        <v>53</v>
      </c>
      <c r="C37" s="15" t="s">
        <v>53</v>
      </c>
      <c r="D37" s="15" t="s">
        <v>54</v>
      </c>
      <c r="T37" s="22">
        <v>4.0</v>
      </c>
      <c r="W37" s="15" t="s">
        <v>77</v>
      </c>
      <c r="X37" s="15" t="s">
        <v>97</v>
      </c>
      <c r="Y37" s="15">
        <v>3.0</v>
      </c>
      <c r="Z37" s="15">
        <v>1.0</v>
      </c>
      <c r="AA37" s="15">
        <v>1.0</v>
      </c>
      <c r="AB37" s="15">
        <v>4.0</v>
      </c>
      <c r="AC37" s="15">
        <v>4.0</v>
      </c>
      <c r="AD37" s="15">
        <v>2.0</v>
      </c>
      <c r="AE37" s="15">
        <v>3.0</v>
      </c>
      <c r="AF37" s="15">
        <v>2.0</v>
      </c>
      <c r="AG37" s="15">
        <v>3.0</v>
      </c>
      <c r="AH37" s="15">
        <v>2.0</v>
      </c>
      <c r="AI37" s="15">
        <v>3.0</v>
      </c>
      <c r="AJ37" s="15" t="s">
        <v>55</v>
      </c>
      <c r="AK37" s="15" t="s">
        <v>56</v>
      </c>
      <c r="AL37" s="15" t="s">
        <v>64</v>
      </c>
      <c r="AM37" s="15">
        <v>4.0</v>
      </c>
      <c r="AN37" s="15" t="s">
        <v>54</v>
      </c>
      <c r="AO37" s="15">
        <v>21.0</v>
      </c>
      <c r="AP37" s="15" t="s">
        <v>67</v>
      </c>
      <c r="AQ37" s="15" t="s">
        <v>60</v>
      </c>
      <c r="AR37" s="15" t="s">
        <v>61</v>
      </c>
      <c r="AS37" s="15" t="s">
        <v>78</v>
      </c>
      <c r="AT37" s="15" t="s">
        <v>145</v>
      </c>
    </row>
    <row r="38">
      <c r="A38" s="14">
        <v>45068.58207975695</v>
      </c>
      <c r="B38" s="15" t="s">
        <v>53</v>
      </c>
      <c r="C38" s="15" t="s">
        <v>53</v>
      </c>
      <c r="D38" s="15" t="s">
        <v>54</v>
      </c>
      <c r="T38" s="22">
        <v>1.0</v>
      </c>
      <c r="W38" s="15" t="s">
        <v>73</v>
      </c>
      <c r="X38" s="15" t="s">
        <v>53</v>
      </c>
      <c r="Y38" s="15">
        <v>5.0</v>
      </c>
      <c r="Z38" s="15">
        <v>1.0</v>
      </c>
      <c r="AA38" s="15">
        <v>2.0</v>
      </c>
      <c r="AB38" s="15">
        <v>3.0</v>
      </c>
      <c r="AC38" s="15">
        <v>3.0</v>
      </c>
      <c r="AD38" s="15">
        <v>2.0</v>
      </c>
      <c r="AE38" s="15">
        <v>2.0</v>
      </c>
      <c r="AF38" s="15">
        <v>1.0</v>
      </c>
      <c r="AG38" s="15">
        <v>2.0</v>
      </c>
      <c r="AH38" s="15">
        <v>2.0</v>
      </c>
      <c r="AI38" s="15">
        <v>2.0</v>
      </c>
      <c r="AJ38" s="15" t="s">
        <v>55</v>
      </c>
      <c r="AK38" s="15" t="s">
        <v>83</v>
      </c>
      <c r="AL38" s="15" t="s">
        <v>92</v>
      </c>
      <c r="AM38" s="15">
        <v>1.0</v>
      </c>
      <c r="AN38" s="15" t="s">
        <v>65</v>
      </c>
      <c r="AO38" s="15">
        <v>40.0</v>
      </c>
      <c r="AP38" s="15" t="s">
        <v>67</v>
      </c>
      <c r="AQ38" s="15" t="s">
        <v>60</v>
      </c>
      <c r="AR38" s="15" t="s">
        <v>61</v>
      </c>
      <c r="AS38" s="15" t="s">
        <v>93</v>
      </c>
      <c r="AT38" s="15" t="s">
        <v>146</v>
      </c>
      <c r="AU38" s="15" t="s">
        <v>147</v>
      </c>
    </row>
    <row r="39">
      <c r="A39" s="14">
        <v>45068.5841622338</v>
      </c>
      <c r="B39" s="15" t="s">
        <v>53</v>
      </c>
      <c r="C39" s="15" t="s">
        <v>53</v>
      </c>
      <c r="D39" s="15" t="s">
        <v>54</v>
      </c>
      <c r="T39" s="22">
        <v>4.0</v>
      </c>
      <c r="W39" s="15" t="s">
        <v>77</v>
      </c>
      <c r="X39" s="15" t="s">
        <v>53</v>
      </c>
      <c r="Y39" s="15">
        <v>4.0</v>
      </c>
      <c r="Z39" s="15">
        <v>2.0</v>
      </c>
      <c r="AA39" s="15">
        <v>2.0</v>
      </c>
      <c r="AB39" s="15">
        <v>5.0</v>
      </c>
      <c r="AC39" s="15">
        <v>2.0</v>
      </c>
      <c r="AD39" s="15">
        <v>4.0</v>
      </c>
      <c r="AE39" s="15">
        <v>3.0</v>
      </c>
      <c r="AF39" s="15">
        <v>2.0</v>
      </c>
      <c r="AG39" s="15">
        <v>3.0</v>
      </c>
      <c r="AH39" s="15">
        <v>3.0</v>
      </c>
      <c r="AI39" s="15">
        <v>2.0</v>
      </c>
      <c r="AJ39" s="15" t="s">
        <v>64</v>
      </c>
      <c r="AK39" s="15" t="s">
        <v>92</v>
      </c>
      <c r="AL39" s="15" t="s">
        <v>55</v>
      </c>
      <c r="AM39" s="15">
        <v>4.0</v>
      </c>
      <c r="AN39" s="15" t="s">
        <v>65</v>
      </c>
      <c r="AO39" s="15">
        <v>20.0</v>
      </c>
      <c r="AP39" s="15" t="s">
        <v>67</v>
      </c>
      <c r="AQ39" s="15" t="s">
        <v>60</v>
      </c>
      <c r="AR39" s="15" t="s">
        <v>61</v>
      </c>
      <c r="AS39" s="15" t="s">
        <v>78</v>
      </c>
      <c r="AT39" s="15" t="s">
        <v>148</v>
      </c>
    </row>
    <row r="40">
      <c r="A40" s="14">
        <v>45068.585865636574</v>
      </c>
      <c r="B40" s="15" t="s">
        <v>53</v>
      </c>
      <c r="C40" s="15" t="s">
        <v>53</v>
      </c>
      <c r="D40" s="15">
        <v>-1.0</v>
      </c>
      <c r="E40" s="15" t="s">
        <v>53</v>
      </c>
      <c r="F40" s="15">
        <v>2.0</v>
      </c>
      <c r="G40" s="15">
        <v>4.0</v>
      </c>
      <c r="H40" s="15">
        <v>3.0</v>
      </c>
      <c r="I40" s="15">
        <v>5.0</v>
      </c>
      <c r="J40" s="15">
        <v>1.0</v>
      </c>
      <c r="K40" s="15">
        <v>3.0</v>
      </c>
      <c r="L40" s="15">
        <v>3.0</v>
      </c>
      <c r="M40" s="15">
        <v>2.0</v>
      </c>
      <c r="N40" s="15">
        <v>1.0</v>
      </c>
      <c r="O40" s="15">
        <v>2.0</v>
      </c>
      <c r="P40" s="15">
        <v>2.0</v>
      </c>
      <c r="Q40" s="15" t="s">
        <v>57</v>
      </c>
      <c r="R40" s="15" t="s">
        <v>55</v>
      </c>
      <c r="S40" s="15" t="s">
        <v>86</v>
      </c>
      <c r="T40" s="15">
        <v>5.0</v>
      </c>
      <c r="U40" s="15" t="s">
        <v>72</v>
      </c>
      <c r="W40" s="15" t="s">
        <v>116</v>
      </c>
      <c r="AO40" s="15">
        <v>21.0</v>
      </c>
      <c r="AP40" s="15" t="s">
        <v>67</v>
      </c>
      <c r="AQ40" s="15" t="s">
        <v>68</v>
      </c>
      <c r="AR40" s="15" t="s">
        <v>61</v>
      </c>
      <c r="AS40" s="15" t="s">
        <v>78</v>
      </c>
      <c r="AT40" s="15" t="s">
        <v>149</v>
      </c>
    </row>
    <row r="41">
      <c r="A41" s="14">
        <v>45068.58640537037</v>
      </c>
      <c r="B41" s="15" t="s">
        <v>53</v>
      </c>
      <c r="C41" s="15" t="s">
        <v>53</v>
      </c>
      <c r="D41" s="15" t="s">
        <v>54</v>
      </c>
      <c r="T41" s="22">
        <v>4.0</v>
      </c>
      <c r="V41" s="15" t="s">
        <v>58</v>
      </c>
      <c r="X41" s="15" t="s">
        <v>53</v>
      </c>
      <c r="Y41" s="15">
        <v>5.0</v>
      </c>
      <c r="Z41" s="15">
        <v>1.0</v>
      </c>
      <c r="AA41" s="15">
        <v>1.0</v>
      </c>
      <c r="AB41" s="15">
        <v>4.0</v>
      </c>
      <c r="AC41" s="15">
        <v>5.0</v>
      </c>
      <c r="AD41" s="15">
        <v>2.0</v>
      </c>
      <c r="AE41" s="15">
        <v>3.0</v>
      </c>
      <c r="AF41" s="15">
        <v>2.0</v>
      </c>
      <c r="AG41" s="15">
        <v>1.0</v>
      </c>
      <c r="AH41" s="15">
        <v>2.0</v>
      </c>
      <c r="AI41" s="15">
        <v>1.0</v>
      </c>
      <c r="AJ41" s="15" t="s">
        <v>57</v>
      </c>
      <c r="AK41" s="15" t="s">
        <v>55</v>
      </c>
      <c r="AL41" s="15" t="s">
        <v>64</v>
      </c>
      <c r="AM41" s="15">
        <v>4.0</v>
      </c>
      <c r="AN41" s="15">
        <v>-2.0</v>
      </c>
      <c r="AO41" s="15">
        <v>33.0</v>
      </c>
      <c r="AP41" s="15" t="s">
        <v>67</v>
      </c>
      <c r="AQ41" s="15" t="s">
        <v>60</v>
      </c>
      <c r="AR41" s="15" t="s">
        <v>61</v>
      </c>
      <c r="AS41" s="15" t="s">
        <v>105</v>
      </c>
      <c r="AT41" s="15" t="s">
        <v>150</v>
      </c>
    </row>
    <row r="42">
      <c r="A42" s="14">
        <v>45068.58742871528</v>
      </c>
      <c r="B42" s="15" t="s">
        <v>53</v>
      </c>
      <c r="C42" s="15" t="s">
        <v>53</v>
      </c>
      <c r="D42" s="15" t="s">
        <v>72</v>
      </c>
      <c r="T42" s="22">
        <v>4.0</v>
      </c>
      <c r="V42" s="15" t="s">
        <v>80</v>
      </c>
      <c r="X42" s="15" t="s">
        <v>53</v>
      </c>
      <c r="Y42" s="15">
        <v>4.0</v>
      </c>
      <c r="Z42" s="15">
        <v>2.0</v>
      </c>
      <c r="AA42" s="15">
        <v>2.0</v>
      </c>
      <c r="AB42" s="15">
        <v>5.0</v>
      </c>
      <c r="AC42" s="15">
        <v>1.0</v>
      </c>
      <c r="AD42" s="15">
        <v>5.0</v>
      </c>
      <c r="AE42" s="15">
        <v>1.0</v>
      </c>
      <c r="AF42" s="15">
        <v>3.0</v>
      </c>
      <c r="AG42" s="15">
        <v>4.0</v>
      </c>
      <c r="AH42" s="15">
        <v>3.0</v>
      </c>
      <c r="AI42" s="15">
        <v>4.0</v>
      </c>
      <c r="AJ42" s="15" t="s">
        <v>64</v>
      </c>
      <c r="AK42" s="15" t="s">
        <v>55</v>
      </c>
      <c r="AL42" s="15" t="s">
        <v>57</v>
      </c>
      <c r="AM42" s="15">
        <v>4.0</v>
      </c>
      <c r="AN42" s="15">
        <v>-3.0</v>
      </c>
      <c r="AO42" s="15">
        <v>20.0</v>
      </c>
      <c r="AP42" s="15" t="s">
        <v>67</v>
      </c>
      <c r="AQ42" s="15" t="s">
        <v>60</v>
      </c>
      <c r="AR42" s="15" t="s">
        <v>61</v>
      </c>
      <c r="AS42" s="15" t="s">
        <v>151</v>
      </c>
      <c r="AT42" s="15" t="s">
        <v>152</v>
      </c>
    </row>
    <row r="43">
      <c r="A43" s="14">
        <v>45068.588000821765</v>
      </c>
      <c r="B43" s="15" t="s">
        <v>53</v>
      </c>
      <c r="C43" s="15" t="s">
        <v>53</v>
      </c>
      <c r="D43" s="15">
        <v>-3.0</v>
      </c>
      <c r="E43" s="15" t="s">
        <v>53</v>
      </c>
      <c r="F43" s="15">
        <v>5.0</v>
      </c>
      <c r="G43" s="15">
        <v>1.0</v>
      </c>
      <c r="H43" s="15">
        <v>1.0</v>
      </c>
      <c r="I43" s="15">
        <v>3.0</v>
      </c>
      <c r="J43" s="15">
        <v>3.0</v>
      </c>
      <c r="K43" s="15">
        <v>5.0</v>
      </c>
      <c r="L43" s="15">
        <v>1.0</v>
      </c>
      <c r="M43" s="15">
        <v>1.0</v>
      </c>
      <c r="N43" s="15">
        <v>1.0</v>
      </c>
      <c r="O43" s="15">
        <v>1.0</v>
      </c>
      <c r="P43" s="15">
        <v>2.0</v>
      </c>
      <c r="Q43" s="15" t="s">
        <v>57</v>
      </c>
      <c r="R43" s="15" t="s">
        <v>86</v>
      </c>
      <c r="S43" s="15" t="s">
        <v>92</v>
      </c>
      <c r="T43" s="15">
        <v>5.0</v>
      </c>
      <c r="U43" s="15">
        <v>-1.0</v>
      </c>
      <c r="V43" s="15" t="s">
        <v>102</v>
      </c>
      <c r="AO43" s="15">
        <v>23.0</v>
      </c>
      <c r="AP43" s="15" t="s">
        <v>67</v>
      </c>
      <c r="AQ43" s="15" t="s">
        <v>68</v>
      </c>
      <c r="AR43" s="15" t="s">
        <v>61</v>
      </c>
      <c r="AS43" s="15" t="s">
        <v>69</v>
      </c>
      <c r="AT43" s="15" t="s">
        <v>153</v>
      </c>
    </row>
    <row r="44">
      <c r="A44" s="14">
        <v>45068.588515613425</v>
      </c>
      <c r="B44" s="15" t="s">
        <v>53</v>
      </c>
      <c r="C44" s="15" t="s">
        <v>53</v>
      </c>
      <c r="D44" s="15">
        <v>-5.0</v>
      </c>
      <c r="E44" s="15" t="s">
        <v>53</v>
      </c>
      <c r="F44" s="15">
        <v>4.0</v>
      </c>
      <c r="G44" s="15">
        <v>2.0</v>
      </c>
      <c r="H44" s="15">
        <v>3.0</v>
      </c>
      <c r="I44" s="15">
        <v>3.0</v>
      </c>
      <c r="J44" s="15">
        <v>5.0</v>
      </c>
      <c r="K44" s="15">
        <v>3.0</v>
      </c>
      <c r="L44" s="15">
        <v>2.0</v>
      </c>
      <c r="M44" s="15">
        <v>3.0</v>
      </c>
      <c r="N44" s="15">
        <v>5.0</v>
      </c>
      <c r="O44" s="15">
        <v>1.0</v>
      </c>
      <c r="P44" s="15">
        <v>4.0</v>
      </c>
      <c r="Q44" s="15" t="s">
        <v>92</v>
      </c>
      <c r="R44" s="15" t="s">
        <v>107</v>
      </c>
      <c r="S44" s="15" t="s">
        <v>86</v>
      </c>
      <c r="T44" s="15">
        <v>1.0</v>
      </c>
      <c r="U44" s="15" t="s">
        <v>85</v>
      </c>
      <c r="W44" s="15" t="s">
        <v>66</v>
      </c>
      <c r="AO44" s="15">
        <v>20.0</v>
      </c>
      <c r="AP44" s="15" t="s">
        <v>59</v>
      </c>
      <c r="AQ44" s="15" t="s">
        <v>154</v>
      </c>
      <c r="AR44" s="15" t="s">
        <v>61</v>
      </c>
      <c r="AS44" s="15" t="s">
        <v>69</v>
      </c>
      <c r="AT44" s="15" t="s">
        <v>155</v>
      </c>
    </row>
    <row r="45">
      <c r="A45" s="14">
        <v>45068.590575625</v>
      </c>
      <c r="B45" s="15" t="s">
        <v>53</v>
      </c>
      <c r="C45" s="15" t="s">
        <v>53</v>
      </c>
      <c r="D45" s="15" t="s">
        <v>65</v>
      </c>
      <c r="T45" s="22">
        <v>4.0</v>
      </c>
      <c r="W45" s="15" t="s">
        <v>77</v>
      </c>
      <c r="X45" s="15" t="s">
        <v>53</v>
      </c>
      <c r="Y45" s="15">
        <v>3.0</v>
      </c>
      <c r="Z45" s="15">
        <v>2.0</v>
      </c>
      <c r="AA45" s="15">
        <v>2.0</v>
      </c>
      <c r="AB45" s="15">
        <v>4.0</v>
      </c>
      <c r="AC45" s="15">
        <v>3.0</v>
      </c>
      <c r="AD45" s="15">
        <v>5.0</v>
      </c>
      <c r="AE45" s="15">
        <v>2.0</v>
      </c>
      <c r="AF45" s="15">
        <v>4.0</v>
      </c>
      <c r="AG45" s="15">
        <v>4.0</v>
      </c>
      <c r="AH45" s="15">
        <v>4.0</v>
      </c>
      <c r="AI45" s="15">
        <v>5.0</v>
      </c>
      <c r="AJ45" s="15" t="s">
        <v>55</v>
      </c>
      <c r="AK45" s="15" t="s">
        <v>64</v>
      </c>
      <c r="AL45" s="15" t="s">
        <v>57</v>
      </c>
      <c r="AM45" s="15">
        <v>4.0</v>
      </c>
      <c r="AN45" s="15" t="s">
        <v>72</v>
      </c>
      <c r="AO45" s="15">
        <v>21.0</v>
      </c>
      <c r="AP45" s="15" t="s">
        <v>67</v>
      </c>
      <c r="AQ45" s="15" t="s">
        <v>60</v>
      </c>
      <c r="AR45" s="15" t="s">
        <v>61</v>
      </c>
      <c r="AS45" s="15" t="s">
        <v>78</v>
      </c>
      <c r="AT45" s="15" t="s">
        <v>156</v>
      </c>
    </row>
    <row r="46">
      <c r="A46" s="14">
        <v>45068.59058709491</v>
      </c>
      <c r="B46" s="15" t="s">
        <v>53</v>
      </c>
      <c r="C46" s="15" t="s">
        <v>53</v>
      </c>
      <c r="D46" s="15" t="s">
        <v>65</v>
      </c>
      <c r="T46" s="22">
        <v>5.0</v>
      </c>
      <c r="W46" s="15" t="s">
        <v>77</v>
      </c>
      <c r="X46" s="15" t="s">
        <v>53</v>
      </c>
      <c r="Y46" s="15">
        <v>4.0</v>
      </c>
      <c r="Z46" s="15">
        <v>2.0</v>
      </c>
      <c r="AA46" s="15">
        <v>1.0</v>
      </c>
      <c r="AB46" s="15">
        <v>5.0</v>
      </c>
      <c r="AC46" s="15">
        <v>3.0</v>
      </c>
      <c r="AD46" s="15">
        <v>4.0</v>
      </c>
      <c r="AE46" s="15">
        <v>1.0</v>
      </c>
      <c r="AF46" s="15">
        <v>4.0</v>
      </c>
      <c r="AG46" s="15">
        <v>4.0</v>
      </c>
      <c r="AH46" s="15">
        <v>3.0</v>
      </c>
      <c r="AI46" s="15">
        <v>3.0</v>
      </c>
      <c r="AJ46" s="15" t="s">
        <v>57</v>
      </c>
      <c r="AK46" s="15" t="s">
        <v>56</v>
      </c>
      <c r="AL46" s="15" t="s">
        <v>55</v>
      </c>
      <c r="AM46" s="15">
        <v>5.0</v>
      </c>
      <c r="AN46" s="15" t="s">
        <v>65</v>
      </c>
      <c r="AO46" s="15">
        <v>19.0</v>
      </c>
      <c r="AP46" s="15" t="s">
        <v>67</v>
      </c>
      <c r="AQ46" s="15" t="s">
        <v>68</v>
      </c>
      <c r="AR46" s="15" t="s">
        <v>61</v>
      </c>
      <c r="AS46" s="15" t="s">
        <v>78</v>
      </c>
      <c r="AT46" s="15" t="s">
        <v>157</v>
      </c>
      <c r="AU46" s="15" t="s">
        <v>158</v>
      </c>
    </row>
    <row r="47">
      <c r="A47" s="14">
        <v>45068.590871168984</v>
      </c>
      <c r="B47" s="15" t="s">
        <v>53</v>
      </c>
      <c r="C47" s="15" t="s">
        <v>53</v>
      </c>
      <c r="D47" s="15" t="s">
        <v>54</v>
      </c>
      <c r="T47" s="22">
        <v>3.0</v>
      </c>
      <c r="W47" s="15" t="s">
        <v>77</v>
      </c>
      <c r="X47" s="15" t="s">
        <v>53</v>
      </c>
      <c r="Y47" s="15">
        <v>3.0</v>
      </c>
      <c r="Z47" s="15">
        <v>3.0</v>
      </c>
      <c r="AA47" s="15">
        <v>3.0</v>
      </c>
      <c r="AB47" s="15">
        <v>4.0</v>
      </c>
      <c r="AC47" s="15">
        <v>3.0</v>
      </c>
      <c r="AD47" s="15">
        <v>3.0</v>
      </c>
      <c r="AE47" s="15">
        <v>3.0</v>
      </c>
      <c r="AF47" s="15">
        <v>2.0</v>
      </c>
      <c r="AG47" s="15">
        <v>2.0</v>
      </c>
      <c r="AH47" s="15">
        <v>3.0</v>
      </c>
      <c r="AI47" s="15">
        <v>2.0</v>
      </c>
      <c r="AJ47" s="15" t="s">
        <v>55</v>
      </c>
      <c r="AK47" s="15" t="s">
        <v>64</v>
      </c>
      <c r="AL47" s="15" t="s">
        <v>57</v>
      </c>
      <c r="AM47" s="15">
        <v>3.0</v>
      </c>
      <c r="AN47" s="15" t="s">
        <v>54</v>
      </c>
      <c r="AO47" s="15">
        <v>23.0</v>
      </c>
      <c r="AP47" s="15" t="s">
        <v>67</v>
      </c>
      <c r="AQ47" s="15" t="s">
        <v>159</v>
      </c>
      <c r="AR47" s="15" t="s">
        <v>61</v>
      </c>
      <c r="AS47" s="15" t="s">
        <v>160</v>
      </c>
      <c r="AT47" s="15" t="s">
        <v>161</v>
      </c>
    </row>
    <row r="48">
      <c r="A48" s="14">
        <v>45068.59177811343</v>
      </c>
      <c r="B48" s="15" t="s">
        <v>53</v>
      </c>
      <c r="C48" s="15" t="s">
        <v>53</v>
      </c>
      <c r="D48" s="15" t="s">
        <v>54</v>
      </c>
      <c r="T48" s="22">
        <v>4.0</v>
      </c>
      <c r="W48" s="15" t="s">
        <v>116</v>
      </c>
      <c r="X48" s="15" t="s">
        <v>53</v>
      </c>
      <c r="Y48" s="15">
        <v>4.0</v>
      </c>
      <c r="Z48" s="15">
        <v>1.0</v>
      </c>
      <c r="AA48" s="15">
        <v>2.0</v>
      </c>
      <c r="AB48" s="15">
        <v>4.0</v>
      </c>
      <c r="AC48" s="15">
        <v>2.0</v>
      </c>
      <c r="AD48" s="15">
        <v>5.0</v>
      </c>
      <c r="AE48" s="15">
        <v>1.0</v>
      </c>
      <c r="AF48" s="15">
        <v>2.0</v>
      </c>
      <c r="AG48" s="15">
        <v>5.0</v>
      </c>
      <c r="AH48" s="15">
        <v>4.0</v>
      </c>
      <c r="AI48" s="15">
        <v>4.0</v>
      </c>
      <c r="AJ48" s="15" t="s">
        <v>55</v>
      </c>
      <c r="AK48" s="15" t="s">
        <v>92</v>
      </c>
      <c r="AL48" s="15" t="s">
        <v>57</v>
      </c>
      <c r="AM48" s="15">
        <v>4.0</v>
      </c>
      <c r="AN48" s="15" t="s">
        <v>65</v>
      </c>
      <c r="AO48" s="15">
        <v>23.0</v>
      </c>
      <c r="AP48" s="15" t="s">
        <v>67</v>
      </c>
      <c r="AQ48" s="15" t="s">
        <v>162</v>
      </c>
      <c r="AR48" s="15" t="s">
        <v>140</v>
      </c>
      <c r="AS48" s="15" t="s">
        <v>69</v>
      </c>
      <c r="AT48" s="15" t="s">
        <v>163</v>
      </c>
      <c r="AU48" s="15" t="s">
        <v>164</v>
      </c>
    </row>
    <row r="49">
      <c r="A49" s="14">
        <v>45068.59188766204</v>
      </c>
      <c r="B49" s="15" t="s">
        <v>53</v>
      </c>
      <c r="C49" s="15" t="s">
        <v>53</v>
      </c>
      <c r="D49" s="15" t="s">
        <v>104</v>
      </c>
      <c r="T49" s="22">
        <v>5.0</v>
      </c>
      <c r="W49" s="15" t="s">
        <v>77</v>
      </c>
      <c r="X49" s="15" t="s">
        <v>53</v>
      </c>
      <c r="Y49" s="15">
        <v>5.0</v>
      </c>
      <c r="Z49" s="15">
        <v>5.0</v>
      </c>
      <c r="AA49" s="15">
        <v>1.0</v>
      </c>
      <c r="AB49" s="15">
        <v>3.0</v>
      </c>
      <c r="AC49" s="15">
        <v>4.0</v>
      </c>
      <c r="AD49" s="15">
        <v>2.0</v>
      </c>
      <c r="AE49" s="15">
        <v>2.0</v>
      </c>
      <c r="AF49" s="15">
        <v>2.0</v>
      </c>
      <c r="AG49" s="15">
        <v>2.0</v>
      </c>
      <c r="AH49" s="15">
        <v>2.0</v>
      </c>
      <c r="AI49" s="15">
        <v>2.0</v>
      </c>
      <c r="AJ49" s="15" t="s">
        <v>55</v>
      </c>
      <c r="AK49" s="15" t="s">
        <v>83</v>
      </c>
      <c r="AL49" s="15" t="s">
        <v>64</v>
      </c>
      <c r="AM49" s="15">
        <v>5.0</v>
      </c>
      <c r="AN49" s="15" t="s">
        <v>104</v>
      </c>
      <c r="AO49" s="15">
        <v>21.0</v>
      </c>
      <c r="AP49" s="15" t="s">
        <v>67</v>
      </c>
      <c r="AQ49" s="15" t="s">
        <v>60</v>
      </c>
      <c r="AR49" s="15" t="s">
        <v>61</v>
      </c>
      <c r="AS49" s="15" t="s">
        <v>93</v>
      </c>
      <c r="AT49" s="15" t="s">
        <v>165</v>
      </c>
    </row>
    <row r="50">
      <c r="A50" s="14">
        <v>45068.59267038194</v>
      </c>
      <c r="B50" s="15" t="s">
        <v>53</v>
      </c>
      <c r="C50" s="15" t="s">
        <v>53</v>
      </c>
      <c r="D50" s="15" t="s">
        <v>104</v>
      </c>
      <c r="T50" s="22">
        <v>4.0</v>
      </c>
      <c r="W50" s="15" t="s">
        <v>113</v>
      </c>
      <c r="X50" s="15" t="s">
        <v>53</v>
      </c>
      <c r="Y50" s="15">
        <v>4.0</v>
      </c>
      <c r="Z50" s="15">
        <v>2.0</v>
      </c>
      <c r="AA50" s="15">
        <v>3.0</v>
      </c>
      <c r="AB50" s="15">
        <v>4.0</v>
      </c>
      <c r="AC50" s="15">
        <v>2.0</v>
      </c>
      <c r="AD50" s="15">
        <v>5.0</v>
      </c>
      <c r="AE50" s="15">
        <v>2.0</v>
      </c>
      <c r="AF50" s="15">
        <v>4.0</v>
      </c>
      <c r="AG50" s="15">
        <v>4.0</v>
      </c>
      <c r="AH50" s="15">
        <v>4.0</v>
      </c>
      <c r="AI50" s="15">
        <v>4.0</v>
      </c>
      <c r="AJ50" s="15" t="s">
        <v>55</v>
      </c>
      <c r="AK50" s="15" t="s">
        <v>86</v>
      </c>
      <c r="AL50" s="15" t="s">
        <v>64</v>
      </c>
      <c r="AM50" s="15">
        <v>4.0</v>
      </c>
      <c r="AN50" s="15" t="s">
        <v>54</v>
      </c>
      <c r="AO50" s="15">
        <v>23.0</v>
      </c>
      <c r="AP50" s="15" t="s">
        <v>67</v>
      </c>
      <c r="AQ50" s="15" t="s">
        <v>166</v>
      </c>
      <c r="AR50" s="15" t="s">
        <v>61</v>
      </c>
      <c r="AS50" s="15" t="s">
        <v>69</v>
      </c>
      <c r="AT50" s="15" t="s">
        <v>167</v>
      </c>
      <c r="AU50" s="15" t="s">
        <v>164</v>
      </c>
    </row>
    <row r="51">
      <c r="A51" s="14">
        <v>45068.593132256945</v>
      </c>
      <c r="B51" s="15" t="s">
        <v>53</v>
      </c>
      <c r="C51" s="15" t="s">
        <v>53</v>
      </c>
      <c r="D51" s="15">
        <v>-3.0</v>
      </c>
      <c r="E51" s="15" t="s">
        <v>53</v>
      </c>
      <c r="F51" s="15">
        <v>4.0</v>
      </c>
      <c r="G51" s="15">
        <v>3.0</v>
      </c>
      <c r="H51" s="15">
        <v>2.0</v>
      </c>
      <c r="I51" s="15">
        <v>4.0</v>
      </c>
      <c r="J51" s="15">
        <v>3.0</v>
      </c>
      <c r="K51" s="15">
        <v>4.0</v>
      </c>
      <c r="L51" s="15">
        <v>3.0</v>
      </c>
      <c r="M51" s="15">
        <v>3.0</v>
      </c>
      <c r="N51" s="15">
        <v>2.0</v>
      </c>
      <c r="O51" s="15">
        <v>2.0</v>
      </c>
      <c r="P51" s="15">
        <v>2.0</v>
      </c>
      <c r="Q51" s="15" t="s">
        <v>83</v>
      </c>
      <c r="R51" s="15" t="s">
        <v>56</v>
      </c>
      <c r="S51" s="15" t="s">
        <v>86</v>
      </c>
      <c r="T51" s="15">
        <v>4.0</v>
      </c>
      <c r="U51" s="15" t="s">
        <v>65</v>
      </c>
      <c r="W51" s="15" t="s">
        <v>66</v>
      </c>
      <c r="AO51" s="15" t="s">
        <v>168</v>
      </c>
      <c r="AP51" s="15" t="s">
        <v>59</v>
      </c>
      <c r="AQ51" s="15" t="s">
        <v>166</v>
      </c>
      <c r="AR51" s="15" t="s">
        <v>61</v>
      </c>
      <c r="AS51" s="15" t="s">
        <v>69</v>
      </c>
      <c r="AT51" s="15" t="s">
        <v>169</v>
      </c>
      <c r="AU51" s="15" t="s">
        <v>170</v>
      </c>
    </row>
    <row r="52">
      <c r="A52" s="14">
        <v>45068.59552942129</v>
      </c>
      <c r="B52" s="15" t="s">
        <v>53</v>
      </c>
      <c r="C52" s="15" t="s">
        <v>53</v>
      </c>
      <c r="D52" s="15" t="s">
        <v>104</v>
      </c>
      <c r="T52" s="22">
        <v>3.0</v>
      </c>
      <c r="V52" s="15" t="s">
        <v>80</v>
      </c>
      <c r="X52" s="15" t="s">
        <v>53</v>
      </c>
      <c r="Y52" s="15">
        <v>3.0</v>
      </c>
      <c r="Z52" s="15">
        <v>5.0</v>
      </c>
      <c r="AA52" s="15">
        <v>5.0</v>
      </c>
      <c r="AB52" s="15">
        <v>5.0</v>
      </c>
      <c r="AC52" s="15">
        <v>1.0</v>
      </c>
      <c r="AD52" s="15">
        <v>5.0</v>
      </c>
      <c r="AE52" s="15">
        <v>1.0</v>
      </c>
      <c r="AF52" s="15">
        <v>5.0</v>
      </c>
      <c r="AG52" s="15">
        <v>5.0</v>
      </c>
      <c r="AH52" s="15">
        <v>5.0</v>
      </c>
      <c r="AI52" s="15">
        <v>5.0</v>
      </c>
      <c r="AJ52" s="15" t="s">
        <v>64</v>
      </c>
      <c r="AK52" s="15" t="s">
        <v>55</v>
      </c>
      <c r="AL52" s="15" t="s">
        <v>83</v>
      </c>
      <c r="AM52" s="15">
        <v>3.0</v>
      </c>
      <c r="AN52" s="15">
        <v>-5.0</v>
      </c>
      <c r="AO52" s="15">
        <v>27.0</v>
      </c>
      <c r="AP52" s="15" t="s">
        <v>59</v>
      </c>
      <c r="AQ52" s="15" t="s">
        <v>120</v>
      </c>
      <c r="AR52" s="15" t="s">
        <v>61</v>
      </c>
      <c r="AS52" s="15" t="s">
        <v>171</v>
      </c>
      <c r="AT52" s="15" t="s">
        <v>172</v>
      </c>
    </row>
    <row r="53">
      <c r="A53" s="14">
        <v>45068.59619686342</v>
      </c>
      <c r="B53" s="15" t="s">
        <v>53</v>
      </c>
      <c r="C53" s="15" t="s">
        <v>53</v>
      </c>
      <c r="D53" s="15" t="s">
        <v>54</v>
      </c>
      <c r="T53" s="22">
        <v>5.0</v>
      </c>
      <c r="W53" s="15" t="s">
        <v>66</v>
      </c>
      <c r="X53" s="15" t="s">
        <v>53</v>
      </c>
      <c r="Y53" s="15">
        <v>4.0</v>
      </c>
      <c r="Z53" s="15">
        <v>1.0</v>
      </c>
      <c r="AA53" s="15">
        <v>1.0</v>
      </c>
      <c r="AB53" s="15">
        <v>4.0</v>
      </c>
      <c r="AC53" s="15">
        <v>5.0</v>
      </c>
      <c r="AD53" s="15">
        <v>3.0</v>
      </c>
      <c r="AE53" s="15">
        <v>1.0</v>
      </c>
      <c r="AF53" s="15">
        <v>3.0</v>
      </c>
      <c r="AG53" s="15">
        <v>3.0</v>
      </c>
      <c r="AH53" s="15">
        <v>3.0</v>
      </c>
      <c r="AI53" s="15">
        <v>3.0</v>
      </c>
      <c r="AJ53" s="15" t="s">
        <v>55</v>
      </c>
      <c r="AK53" s="15" t="s">
        <v>56</v>
      </c>
      <c r="AL53" s="15" t="s">
        <v>64</v>
      </c>
      <c r="AM53" s="15">
        <v>5.0</v>
      </c>
      <c r="AN53" s="15" t="s">
        <v>65</v>
      </c>
      <c r="AO53" s="15">
        <v>23.0</v>
      </c>
      <c r="AP53" s="15" t="s">
        <v>67</v>
      </c>
      <c r="AQ53" s="15" t="s">
        <v>98</v>
      </c>
      <c r="AR53" s="15" t="s">
        <v>109</v>
      </c>
      <c r="AS53" s="15" t="s">
        <v>138</v>
      </c>
      <c r="AT53" s="15" t="s">
        <v>173</v>
      </c>
    </row>
    <row r="54">
      <c r="A54" s="14">
        <v>45068.596741898145</v>
      </c>
      <c r="B54" s="15" t="s">
        <v>53</v>
      </c>
      <c r="C54" s="15" t="s">
        <v>53</v>
      </c>
      <c r="D54" s="15" t="s">
        <v>85</v>
      </c>
      <c r="T54" s="22">
        <v>4.0</v>
      </c>
      <c r="W54" s="15" t="s">
        <v>66</v>
      </c>
      <c r="X54" s="15" t="s">
        <v>53</v>
      </c>
      <c r="Y54" s="15">
        <v>5.0</v>
      </c>
      <c r="Z54" s="15">
        <v>1.0</v>
      </c>
      <c r="AA54" s="15">
        <v>1.0</v>
      </c>
      <c r="AB54" s="15">
        <v>1.0</v>
      </c>
      <c r="AC54" s="15">
        <v>5.0</v>
      </c>
      <c r="AD54" s="15">
        <v>5.0</v>
      </c>
      <c r="AE54" s="15">
        <v>1.0</v>
      </c>
      <c r="AF54" s="15">
        <v>4.0</v>
      </c>
      <c r="AG54" s="15">
        <v>5.0</v>
      </c>
      <c r="AH54" s="15">
        <v>4.0</v>
      </c>
      <c r="AI54" s="15">
        <v>4.0</v>
      </c>
      <c r="AJ54" s="15" t="s">
        <v>55</v>
      </c>
      <c r="AK54" s="15" t="s">
        <v>57</v>
      </c>
      <c r="AL54" s="15" t="s">
        <v>64</v>
      </c>
      <c r="AM54" s="15">
        <v>4.0</v>
      </c>
      <c r="AN54" s="15" t="s">
        <v>54</v>
      </c>
      <c r="AO54" s="15">
        <v>26.0</v>
      </c>
      <c r="AP54" s="15" t="s">
        <v>59</v>
      </c>
      <c r="AQ54" s="15" t="s">
        <v>60</v>
      </c>
      <c r="AR54" s="15" t="s">
        <v>61</v>
      </c>
      <c r="AS54" s="15" t="s">
        <v>110</v>
      </c>
      <c r="AT54" s="15" t="s">
        <v>174</v>
      </c>
      <c r="AU54" s="15" t="s">
        <v>129</v>
      </c>
    </row>
    <row r="55">
      <c r="A55" s="14">
        <v>45068.59739863426</v>
      </c>
      <c r="B55" s="15" t="s">
        <v>53</v>
      </c>
      <c r="C55" s="15" t="s">
        <v>53</v>
      </c>
      <c r="D55" s="15" t="s">
        <v>85</v>
      </c>
      <c r="T55" s="22">
        <v>4.0</v>
      </c>
      <c r="W55" s="15" t="s">
        <v>113</v>
      </c>
      <c r="X55" s="15" t="s">
        <v>53</v>
      </c>
      <c r="Y55" s="15">
        <v>2.0</v>
      </c>
      <c r="Z55" s="15">
        <v>5.0</v>
      </c>
      <c r="AA55" s="15">
        <v>3.0</v>
      </c>
      <c r="AB55" s="15">
        <v>5.0</v>
      </c>
      <c r="AC55" s="15">
        <v>2.0</v>
      </c>
      <c r="AD55" s="15">
        <v>4.0</v>
      </c>
      <c r="AE55" s="15">
        <v>1.0</v>
      </c>
      <c r="AF55" s="15">
        <v>4.0</v>
      </c>
      <c r="AG55" s="15">
        <v>5.0</v>
      </c>
      <c r="AH55" s="15">
        <v>5.0</v>
      </c>
      <c r="AI55" s="15">
        <v>5.0</v>
      </c>
      <c r="AJ55" s="15" t="s">
        <v>57</v>
      </c>
      <c r="AK55" s="15" t="s">
        <v>55</v>
      </c>
      <c r="AL55" s="15" t="s">
        <v>92</v>
      </c>
      <c r="AM55" s="15">
        <v>4.0</v>
      </c>
      <c r="AN55" s="15" t="s">
        <v>65</v>
      </c>
      <c r="AO55" s="15">
        <v>20.0</v>
      </c>
      <c r="AP55" s="15" t="s">
        <v>67</v>
      </c>
      <c r="AQ55" s="15" t="s">
        <v>60</v>
      </c>
      <c r="AR55" s="15" t="s">
        <v>61</v>
      </c>
      <c r="AS55" s="15" t="s">
        <v>78</v>
      </c>
      <c r="AT55" s="15" t="s">
        <v>175</v>
      </c>
    </row>
    <row r="56">
      <c r="A56" s="14">
        <v>45068.59786709491</v>
      </c>
      <c r="B56" s="15" t="s">
        <v>53</v>
      </c>
      <c r="C56" s="15" t="s">
        <v>53</v>
      </c>
      <c r="D56" s="15" t="s">
        <v>104</v>
      </c>
      <c r="T56" s="22">
        <v>4.0</v>
      </c>
      <c r="W56" s="15" t="s">
        <v>113</v>
      </c>
      <c r="X56" s="15" t="s">
        <v>53</v>
      </c>
      <c r="Y56" s="15">
        <v>4.0</v>
      </c>
      <c r="Z56" s="15">
        <v>2.0</v>
      </c>
      <c r="AA56" s="15">
        <v>3.0</v>
      </c>
      <c r="AB56" s="15">
        <v>5.0</v>
      </c>
      <c r="AC56" s="15">
        <v>5.0</v>
      </c>
      <c r="AD56" s="15">
        <v>4.0</v>
      </c>
      <c r="AE56" s="15">
        <v>2.0</v>
      </c>
      <c r="AF56" s="15">
        <v>3.0</v>
      </c>
      <c r="AG56" s="15">
        <v>3.0</v>
      </c>
      <c r="AH56" s="15">
        <v>4.0</v>
      </c>
      <c r="AI56" s="15">
        <v>4.0</v>
      </c>
      <c r="AJ56" s="15" t="s">
        <v>55</v>
      </c>
      <c r="AK56" s="15" t="s">
        <v>56</v>
      </c>
      <c r="AL56" s="15" t="s">
        <v>57</v>
      </c>
      <c r="AM56" s="15">
        <v>4.0</v>
      </c>
      <c r="AN56" s="15" t="s">
        <v>54</v>
      </c>
      <c r="AO56" s="15">
        <v>27.0</v>
      </c>
      <c r="AP56" s="15" t="s">
        <v>59</v>
      </c>
      <c r="AQ56" s="15" t="s">
        <v>98</v>
      </c>
      <c r="AR56" s="15" t="s">
        <v>140</v>
      </c>
      <c r="AS56" s="15" t="s">
        <v>93</v>
      </c>
      <c r="AT56" s="15" t="s">
        <v>176</v>
      </c>
    </row>
    <row r="57">
      <c r="A57" s="14">
        <v>45068.5982862963</v>
      </c>
      <c r="B57" s="15" t="s">
        <v>53</v>
      </c>
      <c r="C57" s="15" t="s">
        <v>53</v>
      </c>
      <c r="D57" s="15" t="s">
        <v>72</v>
      </c>
      <c r="T57" s="22">
        <v>5.0</v>
      </c>
      <c r="V57" s="15" t="s">
        <v>80</v>
      </c>
      <c r="X57" s="15" t="s">
        <v>53</v>
      </c>
      <c r="Y57" s="15">
        <v>5.0</v>
      </c>
      <c r="Z57" s="15">
        <v>1.0</v>
      </c>
      <c r="AA57" s="15">
        <v>1.0</v>
      </c>
      <c r="AB57" s="15">
        <v>5.0</v>
      </c>
      <c r="AC57" s="15">
        <v>3.0</v>
      </c>
      <c r="AD57" s="15">
        <v>5.0</v>
      </c>
      <c r="AE57" s="15">
        <v>4.0</v>
      </c>
      <c r="AF57" s="15">
        <v>5.0</v>
      </c>
      <c r="AG57" s="15">
        <v>5.0</v>
      </c>
      <c r="AH57" s="15">
        <v>5.0</v>
      </c>
      <c r="AI57" s="15">
        <v>4.0</v>
      </c>
      <c r="AJ57" s="15" t="s">
        <v>57</v>
      </c>
      <c r="AK57" s="15" t="s">
        <v>55</v>
      </c>
      <c r="AL57" s="15" t="s">
        <v>83</v>
      </c>
      <c r="AM57" s="15">
        <v>5.0</v>
      </c>
      <c r="AN57" s="15">
        <v>-3.0</v>
      </c>
      <c r="AO57" s="15">
        <v>21.0</v>
      </c>
      <c r="AP57" s="15" t="s">
        <v>67</v>
      </c>
      <c r="AQ57" s="15" t="s">
        <v>60</v>
      </c>
      <c r="AR57" s="15" t="s">
        <v>61</v>
      </c>
      <c r="AS57" s="15" t="s">
        <v>78</v>
      </c>
      <c r="AT57" s="15" t="s">
        <v>177</v>
      </c>
    </row>
    <row r="58">
      <c r="A58" s="14">
        <v>45068.60112208333</v>
      </c>
      <c r="B58" s="15" t="s">
        <v>53</v>
      </c>
      <c r="C58" s="15" t="s">
        <v>53</v>
      </c>
      <c r="D58" s="15" t="s">
        <v>72</v>
      </c>
      <c r="T58" s="22">
        <v>3.0</v>
      </c>
      <c r="W58" s="15" t="s">
        <v>73</v>
      </c>
      <c r="X58" s="15" t="s">
        <v>53</v>
      </c>
      <c r="Y58" s="15">
        <v>4.0</v>
      </c>
      <c r="Z58" s="15">
        <v>2.0</v>
      </c>
      <c r="AA58" s="15">
        <v>2.0</v>
      </c>
      <c r="AB58" s="15">
        <v>4.0</v>
      </c>
      <c r="AC58" s="15">
        <v>4.0</v>
      </c>
      <c r="AD58" s="15">
        <v>3.0</v>
      </c>
      <c r="AE58" s="15">
        <v>3.0</v>
      </c>
      <c r="AF58" s="15">
        <v>3.0</v>
      </c>
      <c r="AG58" s="15">
        <v>3.0</v>
      </c>
      <c r="AH58" s="15">
        <v>3.0</v>
      </c>
      <c r="AI58" s="15">
        <v>3.0</v>
      </c>
      <c r="AJ58" s="15" t="s">
        <v>55</v>
      </c>
      <c r="AK58" s="15" t="s">
        <v>64</v>
      </c>
      <c r="AL58" s="15" t="s">
        <v>57</v>
      </c>
      <c r="AM58" s="15">
        <v>3.0</v>
      </c>
      <c r="AN58" s="15" t="s">
        <v>65</v>
      </c>
      <c r="AO58" s="15">
        <v>55.0</v>
      </c>
      <c r="AP58" s="15" t="s">
        <v>59</v>
      </c>
      <c r="AQ58" s="15" t="s">
        <v>60</v>
      </c>
      <c r="AR58" s="15" t="s">
        <v>140</v>
      </c>
      <c r="AS58" s="15" t="s">
        <v>105</v>
      </c>
      <c r="AT58" s="15" t="s">
        <v>178</v>
      </c>
      <c r="AU58" s="15" t="s">
        <v>129</v>
      </c>
    </row>
    <row r="59">
      <c r="A59" s="14">
        <v>45068.60350207176</v>
      </c>
      <c r="B59" s="15" t="s">
        <v>53</v>
      </c>
      <c r="C59" s="15" t="s">
        <v>53</v>
      </c>
      <c r="D59" s="15" t="s">
        <v>85</v>
      </c>
      <c r="T59" s="22">
        <v>5.0</v>
      </c>
      <c r="V59" s="15" t="s">
        <v>80</v>
      </c>
      <c r="X59" s="15" t="s">
        <v>53</v>
      </c>
      <c r="Y59" s="15">
        <v>4.0</v>
      </c>
      <c r="Z59" s="15">
        <v>3.0</v>
      </c>
      <c r="AA59" s="15">
        <v>2.0</v>
      </c>
      <c r="AB59" s="15">
        <v>5.0</v>
      </c>
      <c r="AC59" s="15">
        <v>4.0</v>
      </c>
      <c r="AD59" s="15">
        <v>4.0</v>
      </c>
      <c r="AE59" s="15">
        <v>1.0</v>
      </c>
      <c r="AF59" s="15">
        <v>3.0</v>
      </c>
      <c r="AG59" s="15">
        <v>4.0</v>
      </c>
      <c r="AH59" s="15">
        <v>4.0</v>
      </c>
      <c r="AI59" s="15">
        <v>4.0</v>
      </c>
      <c r="AJ59" s="15" t="s">
        <v>55</v>
      </c>
      <c r="AK59" s="15" t="s">
        <v>56</v>
      </c>
      <c r="AL59" s="15" t="s">
        <v>64</v>
      </c>
      <c r="AM59" s="15">
        <v>5.0</v>
      </c>
      <c r="AN59" s="15">
        <v>-5.0</v>
      </c>
      <c r="AO59" s="15">
        <v>22.0</v>
      </c>
      <c r="AP59" s="15" t="s">
        <v>67</v>
      </c>
      <c r="AQ59" s="15" t="s">
        <v>60</v>
      </c>
      <c r="AR59" s="15" t="s">
        <v>61</v>
      </c>
      <c r="AS59" s="15" t="s">
        <v>99</v>
      </c>
      <c r="AT59" s="15" t="s">
        <v>179</v>
      </c>
    </row>
    <row r="60">
      <c r="A60" s="14">
        <v>45068.60369347222</v>
      </c>
      <c r="B60" s="15" t="s">
        <v>53</v>
      </c>
      <c r="C60" s="15" t="s">
        <v>53</v>
      </c>
      <c r="D60" s="15">
        <v>-4.0</v>
      </c>
      <c r="E60" s="15" t="s">
        <v>53</v>
      </c>
      <c r="F60" s="15">
        <v>5.0</v>
      </c>
      <c r="G60" s="15">
        <v>1.0</v>
      </c>
      <c r="H60" s="15">
        <v>1.0</v>
      </c>
      <c r="I60" s="15">
        <v>4.0</v>
      </c>
      <c r="J60" s="15">
        <v>3.0</v>
      </c>
      <c r="K60" s="15">
        <v>4.0</v>
      </c>
      <c r="L60" s="15">
        <v>3.0</v>
      </c>
      <c r="M60" s="15">
        <v>2.0</v>
      </c>
      <c r="N60" s="15">
        <v>2.0</v>
      </c>
      <c r="O60" s="15">
        <v>1.0</v>
      </c>
      <c r="P60" s="15">
        <v>1.0</v>
      </c>
      <c r="Q60" s="15" t="s">
        <v>86</v>
      </c>
      <c r="R60" s="15" t="s">
        <v>57</v>
      </c>
      <c r="S60" s="15" t="s">
        <v>55</v>
      </c>
      <c r="T60" s="15">
        <v>5.0</v>
      </c>
      <c r="U60" s="15" t="s">
        <v>54</v>
      </c>
      <c r="W60" s="15" t="s">
        <v>77</v>
      </c>
      <c r="AO60" s="15">
        <v>25.0</v>
      </c>
      <c r="AP60" s="15" t="s">
        <v>67</v>
      </c>
      <c r="AQ60" s="15" t="s">
        <v>60</v>
      </c>
      <c r="AR60" s="15" t="s">
        <v>61</v>
      </c>
      <c r="AS60" s="15" t="s">
        <v>125</v>
      </c>
      <c r="AT60" s="15" t="s">
        <v>180</v>
      </c>
    </row>
    <row r="61">
      <c r="A61" s="14">
        <v>45068.60675143519</v>
      </c>
      <c r="B61" s="15" t="s">
        <v>53</v>
      </c>
      <c r="C61" s="15" t="s">
        <v>53</v>
      </c>
      <c r="D61" s="15" t="s">
        <v>54</v>
      </c>
      <c r="T61" s="22">
        <v>3.0</v>
      </c>
      <c r="W61" s="15" t="s">
        <v>66</v>
      </c>
      <c r="X61" s="15" t="s">
        <v>53</v>
      </c>
      <c r="Y61" s="15">
        <v>4.0</v>
      </c>
      <c r="Z61" s="15">
        <v>2.0</v>
      </c>
      <c r="AA61" s="15">
        <v>3.0</v>
      </c>
      <c r="AB61" s="15">
        <v>4.0</v>
      </c>
      <c r="AC61" s="15">
        <v>3.0</v>
      </c>
      <c r="AD61" s="15">
        <v>5.0</v>
      </c>
      <c r="AE61" s="15">
        <v>1.0</v>
      </c>
      <c r="AF61" s="15">
        <v>5.0</v>
      </c>
      <c r="AG61" s="15">
        <v>5.0</v>
      </c>
      <c r="AH61" s="15">
        <v>5.0</v>
      </c>
      <c r="AI61" s="15">
        <v>5.0</v>
      </c>
      <c r="AJ61" s="15" t="s">
        <v>55</v>
      </c>
      <c r="AK61" s="15" t="s">
        <v>83</v>
      </c>
      <c r="AL61" s="15" t="s">
        <v>56</v>
      </c>
      <c r="AM61" s="15">
        <v>3.0</v>
      </c>
      <c r="AN61" s="15" t="s">
        <v>54</v>
      </c>
      <c r="AO61" s="15">
        <v>22.0</v>
      </c>
      <c r="AP61" s="15" t="s">
        <v>67</v>
      </c>
      <c r="AQ61" s="15" t="s">
        <v>120</v>
      </c>
      <c r="AR61" s="15" t="s">
        <v>61</v>
      </c>
      <c r="AS61" s="15" t="s">
        <v>69</v>
      </c>
      <c r="AT61" s="15" t="s">
        <v>181</v>
      </c>
      <c r="AU61" s="15" t="s">
        <v>182</v>
      </c>
    </row>
    <row r="62">
      <c r="A62" s="14">
        <v>45068.608315000005</v>
      </c>
      <c r="B62" s="15" t="s">
        <v>53</v>
      </c>
      <c r="C62" s="15" t="s">
        <v>53</v>
      </c>
      <c r="D62" s="15" t="s">
        <v>65</v>
      </c>
      <c r="T62" s="22">
        <v>5.0</v>
      </c>
      <c r="W62" s="15" t="s">
        <v>77</v>
      </c>
      <c r="X62" s="15" t="s">
        <v>53</v>
      </c>
      <c r="Y62" s="15">
        <v>3.0</v>
      </c>
      <c r="Z62" s="15">
        <v>3.0</v>
      </c>
      <c r="AA62" s="15">
        <v>4.0</v>
      </c>
      <c r="AB62" s="15">
        <v>3.0</v>
      </c>
      <c r="AC62" s="15">
        <v>2.0</v>
      </c>
      <c r="AD62" s="15">
        <v>4.0</v>
      </c>
      <c r="AE62" s="15">
        <v>1.0</v>
      </c>
      <c r="AF62" s="15">
        <v>2.0</v>
      </c>
      <c r="AG62" s="15">
        <v>3.0</v>
      </c>
      <c r="AH62" s="15">
        <v>3.0</v>
      </c>
      <c r="AI62" s="15">
        <v>3.0</v>
      </c>
      <c r="AJ62" s="15" t="s">
        <v>57</v>
      </c>
      <c r="AK62" s="15" t="s">
        <v>64</v>
      </c>
      <c r="AL62" s="15" t="s">
        <v>92</v>
      </c>
      <c r="AM62" s="15">
        <v>5.0</v>
      </c>
      <c r="AN62" s="15" t="s">
        <v>72</v>
      </c>
      <c r="AO62" s="15">
        <v>19.0</v>
      </c>
      <c r="AP62" s="15" t="s">
        <v>67</v>
      </c>
      <c r="AQ62" s="15" t="s">
        <v>98</v>
      </c>
      <c r="AR62" s="15" t="s">
        <v>61</v>
      </c>
      <c r="AS62" s="15" t="s">
        <v>151</v>
      </c>
      <c r="AT62" s="15" t="s">
        <v>183</v>
      </c>
    </row>
    <row r="63">
      <c r="A63" s="14">
        <v>45068.6102758912</v>
      </c>
      <c r="B63" s="15" t="s">
        <v>53</v>
      </c>
      <c r="C63" s="15" t="s">
        <v>53</v>
      </c>
      <c r="D63" s="15" t="s">
        <v>65</v>
      </c>
      <c r="T63" s="22">
        <v>2.0</v>
      </c>
      <c r="W63" s="15" t="s">
        <v>73</v>
      </c>
      <c r="X63" s="15" t="s">
        <v>53</v>
      </c>
      <c r="Y63" s="15">
        <v>5.0</v>
      </c>
      <c r="Z63" s="15">
        <v>2.0</v>
      </c>
      <c r="AA63" s="15">
        <v>1.0</v>
      </c>
      <c r="AB63" s="15">
        <v>4.0</v>
      </c>
      <c r="AC63" s="15">
        <v>2.0</v>
      </c>
      <c r="AD63" s="15">
        <v>5.0</v>
      </c>
      <c r="AE63" s="15">
        <v>2.0</v>
      </c>
      <c r="AF63" s="15">
        <v>3.0</v>
      </c>
      <c r="AG63" s="15">
        <v>2.0</v>
      </c>
      <c r="AH63" s="15">
        <v>2.0</v>
      </c>
      <c r="AI63" s="15">
        <v>2.0</v>
      </c>
      <c r="AJ63" s="15" t="s">
        <v>92</v>
      </c>
      <c r="AK63" s="15" t="s">
        <v>57</v>
      </c>
      <c r="AL63" s="15" t="s">
        <v>56</v>
      </c>
      <c r="AM63" s="15">
        <v>2.0</v>
      </c>
      <c r="AN63" s="15" t="s">
        <v>54</v>
      </c>
      <c r="AO63" s="15">
        <v>20.0</v>
      </c>
      <c r="AP63" s="15" t="s">
        <v>59</v>
      </c>
      <c r="AQ63" s="15" t="s">
        <v>88</v>
      </c>
      <c r="AR63" s="15" t="s">
        <v>109</v>
      </c>
      <c r="AS63" s="15" t="s">
        <v>160</v>
      </c>
      <c r="AT63" s="15" t="s">
        <v>184</v>
      </c>
    </row>
    <row r="64">
      <c r="A64" s="14">
        <v>45068.61049071759</v>
      </c>
      <c r="B64" s="15" t="s">
        <v>53</v>
      </c>
      <c r="C64" s="15" t="s">
        <v>53</v>
      </c>
      <c r="D64" s="15" t="s">
        <v>54</v>
      </c>
      <c r="T64" s="22">
        <v>5.0</v>
      </c>
      <c r="V64" s="15" t="s">
        <v>185</v>
      </c>
      <c r="X64" s="15" t="s">
        <v>53</v>
      </c>
      <c r="Y64" s="15">
        <v>5.0</v>
      </c>
      <c r="Z64" s="15">
        <v>1.0</v>
      </c>
      <c r="AA64" s="15">
        <v>2.0</v>
      </c>
      <c r="AB64" s="15">
        <v>3.0</v>
      </c>
      <c r="AC64" s="15">
        <v>4.0</v>
      </c>
      <c r="AD64" s="15">
        <v>5.0</v>
      </c>
      <c r="AE64" s="15">
        <v>2.0</v>
      </c>
      <c r="AF64" s="15">
        <v>2.0</v>
      </c>
      <c r="AG64" s="15">
        <v>2.0</v>
      </c>
      <c r="AH64" s="15">
        <v>2.0</v>
      </c>
      <c r="AI64" s="15">
        <v>2.0</v>
      </c>
      <c r="AJ64" s="15" t="s">
        <v>56</v>
      </c>
      <c r="AK64" s="15" t="s">
        <v>57</v>
      </c>
      <c r="AL64" s="15" t="s">
        <v>86</v>
      </c>
      <c r="AM64" s="15">
        <v>5.0</v>
      </c>
      <c r="AN64" s="15">
        <v>-2.0</v>
      </c>
      <c r="AO64" s="15">
        <v>24.0</v>
      </c>
      <c r="AP64" s="15" t="s">
        <v>67</v>
      </c>
      <c r="AQ64" s="15" t="s">
        <v>68</v>
      </c>
      <c r="AR64" s="15" t="s">
        <v>61</v>
      </c>
      <c r="AS64" s="15" t="s">
        <v>78</v>
      </c>
      <c r="AT64" s="15" t="s">
        <v>186</v>
      </c>
    </row>
    <row r="65">
      <c r="A65" s="14">
        <v>45068.612488819446</v>
      </c>
      <c r="B65" s="15" t="s">
        <v>53</v>
      </c>
      <c r="C65" s="15" t="s">
        <v>53</v>
      </c>
      <c r="D65" s="15" t="s">
        <v>65</v>
      </c>
      <c r="T65" s="22">
        <v>3.0</v>
      </c>
      <c r="W65" s="15" t="s">
        <v>77</v>
      </c>
      <c r="X65" s="15" t="s">
        <v>53</v>
      </c>
      <c r="Y65" s="15">
        <v>5.0</v>
      </c>
      <c r="Z65" s="15">
        <v>1.0</v>
      </c>
      <c r="AA65" s="15">
        <v>1.0</v>
      </c>
      <c r="AB65" s="15">
        <v>3.0</v>
      </c>
      <c r="AC65" s="15">
        <v>3.0</v>
      </c>
      <c r="AD65" s="15">
        <v>4.0</v>
      </c>
      <c r="AE65" s="15">
        <v>1.0</v>
      </c>
      <c r="AF65" s="15">
        <v>3.0</v>
      </c>
      <c r="AG65" s="15">
        <v>3.0</v>
      </c>
      <c r="AH65" s="15">
        <v>2.0</v>
      </c>
      <c r="AI65" s="15">
        <v>3.0</v>
      </c>
      <c r="AJ65" s="15" t="s">
        <v>55</v>
      </c>
      <c r="AK65" s="15" t="s">
        <v>64</v>
      </c>
      <c r="AL65" s="15" t="s">
        <v>57</v>
      </c>
      <c r="AM65" s="15">
        <v>3.0</v>
      </c>
      <c r="AN65" s="15" t="s">
        <v>85</v>
      </c>
      <c r="AO65" s="15">
        <v>45.0</v>
      </c>
      <c r="AP65" s="15" t="s">
        <v>67</v>
      </c>
      <c r="AQ65" s="15" t="s">
        <v>187</v>
      </c>
      <c r="AR65" s="15" t="s">
        <v>109</v>
      </c>
      <c r="AS65" s="15" t="s">
        <v>93</v>
      </c>
      <c r="AT65" s="15" t="s">
        <v>188</v>
      </c>
    </row>
    <row r="66">
      <c r="A66" s="14">
        <v>45068.61257185185</v>
      </c>
      <c r="B66" s="15" t="s">
        <v>53</v>
      </c>
      <c r="C66" s="15" t="s">
        <v>53</v>
      </c>
      <c r="D66" s="15" t="s">
        <v>54</v>
      </c>
      <c r="T66" s="22">
        <v>4.0</v>
      </c>
      <c r="V66" s="15" t="s">
        <v>58</v>
      </c>
      <c r="X66" s="15" t="s">
        <v>53</v>
      </c>
      <c r="Y66" s="15">
        <v>4.0</v>
      </c>
      <c r="Z66" s="15">
        <v>1.0</v>
      </c>
      <c r="AA66" s="15">
        <v>1.0</v>
      </c>
      <c r="AB66" s="15">
        <v>5.0</v>
      </c>
      <c r="AC66" s="15">
        <v>4.0</v>
      </c>
      <c r="AD66" s="15">
        <v>5.0</v>
      </c>
      <c r="AE66" s="15">
        <v>1.0</v>
      </c>
      <c r="AF66" s="15">
        <v>2.0</v>
      </c>
      <c r="AG66" s="15">
        <v>2.0</v>
      </c>
      <c r="AH66" s="15">
        <v>2.0</v>
      </c>
      <c r="AI66" s="15">
        <v>3.0</v>
      </c>
      <c r="AJ66" s="15" t="s">
        <v>57</v>
      </c>
      <c r="AK66" s="15" t="s">
        <v>55</v>
      </c>
      <c r="AL66" s="15" t="s">
        <v>86</v>
      </c>
      <c r="AM66" s="15">
        <v>4.0</v>
      </c>
      <c r="AN66" s="15">
        <v>-3.0</v>
      </c>
      <c r="AO66" s="15">
        <v>23.0</v>
      </c>
      <c r="AP66" s="15" t="s">
        <v>67</v>
      </c>
      <c r="AQ66" s="15" t="s">
        <v>98</v>
      </c>
      <c r="AR66" s="15" t="s">
        <v>140</v>
      </c>
      <c r="AS66" s="15" t="s">
        <v>138</v>
      </c>
      <c r="AT66" s="15" t="s">
        <v>189</v>
      </c>
    </row>
    <row r="67">
      <c r="A67" s="14">
        <v>45068.61394146991</v>
      </c>
      <c r="B67" s="15" t="s">
        <v>53</v>
      </c>
      <c r="C67" s="15" t="s">
        <v>53</v>
      </c>
      <c r="D67" s="15">
        <v>-1.0</v>
      </c>
      <c r="E67" s="15" t="s">
        <v>53</v>
      </c>
      <c r="F67" s="15">
        <v>4.0</v>
      </c>
      <c r="G67" s="15">
        <v>3.0</v>
      </c>
      <c r="H67" s="15">
        <v>2.0</v>
      </c>
      <c r="I67" s="15">
        <v>4.0</v>
      </c>
      <c r="J67" s="15">
        <v>3.0</v>
      </c>
      <c r="K67" s="15">
        <v>4.0</v>
      </c>
      <c r="L67" s="15">
        <v>2.0</v>
      </c>
      <c r="M67" s="15">
        <v>3.0</v>
      </c>
      <c r="N67" s="15">
        <v>3.0</v>
      </c>
      <c r="O67" s="15">
        <v>3.0</v>
      </c>
      <c r="P67" s="15">
        <v>4.0</v>
      </c>
      <c r="Q67" s="15" t="s">
        <v>57</v>
      </c>
      <c r="R67" s="15" t="s">
        <v>55</v>
      </c>
      <c r="S67" s="15" t="s">
        <v>86</v>
      </c>
      <c r="T67" s="15">
        <v>4.0</v>
      </c>
      <c r="U67" s="15" t="s">
        <v>54</v>
      </c>
      <c r="W67" s="15" t="s">
        <v>77</v>
      </c>
      <c r="AO67" s="15">
        <v>20.0</v>
      </c>
      <c r="AP67" s="15" t="s">
        <v>67</v>
      </c>
      <c r="AQ67" s="15" t="s">
        <v>68</v>
      </c>
      <c r="AR67" s="15" t="s">
        <v>61</v>
      </c>
      <c r="AS67" s="15" t="s">
        <v>99</v>
      </c>
      <c r="AT67" s="15" t="s">
        <v>190</v>
      </c>
    </row>
    <row r="68">
      <c r="A68" s="14">
        <v>45068.6167322338</v>
      </c>
      <c r="B68" s="15" t="s">
        <v>53</v>
      </c>
      <c r="C68" s="15" t="s">
        <v>53</v>
      </c>
      <c r="D68" s="15" t="s">
        <v>54</v>
      </c>
      <c r="T68" s="22">
        <v>5.0</v>
      </c>
      <c r="W68" s="15" t="s">
        <v>77</v>
      </c>
      <c r="X68" s="15" t="s">
        <v>53</v>
      </c>
      <c r="Y68" s="15">
        <v>5.0</v>
      </c>
      <c r="Z68" s="15">
        <v>2.0</v>
      </c>
      <c r="AA68" s="15">
        <v>1.0</v>
      </c>
      <c r="AB68" s="15">
        <v>4.0</v>
      </c>
      <c r="AC68" s="15">
        <v>5.0</v>
      </c>
      <c r="AD68" s="15">
        <v>3.0</v>
      </c>
      <c r="AE68" s="15">
        <v>1.0</v>
      </c>
      <c r="AF68" s="15">
        <v>4.0</v>
      </c>
      <c r="AG68" s="15">
        <v>3.0</v>
      </c>
      <c r="AH68" s="15">
        <v>3.0</v>
      </c>
      <c r="AI68" s="15">
        <v>4.0</v>
      </c>
      <c r="AJ68" s="15" t="s">
        <v>64</v>
      </c>
      <c r="AK68" s="15" t="s">
        <v>57</v>
      </c>
      <c r="AL68" s="15" t="s">
        <v>86</v>
      </c>
      <c r="AM68" s="15">
        <v>5.0</v>
      </c>
      <c r="AN68" s="15" t="s">
        <v>72</v>
      </c>
      <c r="AO68" s="15">
        <v>23.0</v>
      </c>
      <c r="AP68" s="15" t="s">
        <v>67</v>
      </c>
      <c r="AQ68" s="15" t="s">
        <v>98</v>
      </c>
      <c r="AR68" s="15" t="s">
        <v>61</v>
      </c>
      <c r="AS68" s="15" t="s">
        <v>99</v>
      </c>
      <c r="AT68" s="15" t="s">
        <v>191</v>
      </c>
    </row>
    <row r="69">
      <c r="A69" s="14">
        <v>45068.61700893518</v>
      </c>
      <c r="B69" s="15" t="s">
        <v>53</v>
      </c>
      <c r="C69" s="15" t="s">
        <v>53</v>
      </c>
      <c r="D69" s="15" t="s">
        <v>85</v>
      </c>
      <c r="T69" s="22">
        <v>4.0</v>
      </c>
      <c r="W69" s="15" t="s">
        <v>77</v>
      </c>
      <c r="X69" s="15" t="s">
        <v>53</v>
      </c>
      <c r="Y69" s="15">
        <v>5.0</v>
      </c>
      <c r="Z69" s="15">
        <v>1.0</v>
      </c>
      <c r="AA69" s="15">
        <v>1.0</v>
      </c>
      <c r="AB69" s="15">
        <v>5.0</v>
      </c>
      <c r="AC69" s="15">
        <v>5.0</v>
      </c>
      <c r="AD69" s="15">
        <v>4.0</v>
      </c>
      <c r="AE69" s="15">
        <v>1.0</v>
      </c>
      <c r="AF69" s="15">
        <v>4.0</v>
      </c>
      <c r="AG69" s="15">
        <v>4.0</v>
      </c>
      <c r="AH69" s="15">
        <v>4.0</v>
      </c>
      <c r="AI69" s="15">
        <v>4.0</v>
      </c>
      <c r="AJ69" s="15" t="s">
        <v>55</v>
      </c>
      <c r="AK69" s="15" t="s">
        <v>56</v>
      </c>
      <c r="AL69" s="15" t="s">
        <v>57</v>
      </c>
      <c r="AM69" s="15">
        <v>4.0</v>
      </c>
      <c r="AN69" s="15" t="s">
        <v>54</v>
      </c>
      <c r="AO69" s="15">
        <v>22.0</v>
      </c>
      <c r="AP69" s="15" t="s">
        <v>67</v>
      </c>
      <c r="AQ69" s="15" t="s">
        <v>60</v>
      </c>
      <c r="AR69" s="15" t="s">
        <v>61</v>
      </c>
      <c r="AS69" s="15" t="s">
        <v>69</v>
      </c>
      <c r="AT69" s="15" t="s">
        <v>192</v>
      </c>
    </row>
    <row r="70">
      <c r="A70" s="14">
        <v>45068.62293045138</v>
      </c>
      <c r="B70" s="15" t="s">
        <v>53</v>
      </c>
      <c r="C70" s="15" t="s">
        <v>53</v>
      </c>
      <c r="D70" s="15" t="s">
        <v>85</v>
      </c>
      <c r="T70" s="22">
        <v>4.0</v>
      </c>
      <c r="V70" s="15" t="s">
        <v>80</v>
      </c>
      <c r="X70" s="15" t="s">
        <v>53</v>
      </c>
      <c r="Y70" s="15">
        <v>2.0</v>
      </c>
      <c r="Z70" s="15">
        <v>4.0</v>
      </c>
      <c r="AA70" s="15">
        <v>5.0</v>
      </c>
      <c r="AB70" s="15">
        <v>5.0</v>
      </c>
      <c r="AC70" s="15">
        <v>1.0</v>
      </c>
      <c r="AD70" s="15">
        <v>4.0</v>
      </c>
      <c r="AE70" s="15">
        <v>1.0</v>
      </c>
      <c r="AF70" s="15">
        <v>4.0</v>
      </c>
      <c r="AG70" s="15">
        <v>5.0</v>
      </c>
      <c r="AH70" s="15">
        <v>5.0</v>
      </c>
      <c r="AI70" s="15">
        <v>3.0</v>
      </c>
      <c r="AJ70" s="15" t="s">
        <v>55</v>
      </c>
      <c r="AK70" s="15" t="s">
        <v>64</v>
      </c>
      <c r="AL70" s="15" t="s">
        <v>56</v>
      </c>
      <c r="AM70" s="15">
        <v>4.0</v>
      </c>
      <c r="AN70" s="15">
        <v>-3.0</v>
      </c>
      <c r="AO70" s="15">
        <v>20.0</v>
      </c>
      <c r="AP70" s="15" t="s">
        <v>67</v>
      </c>
      <c r="AQ70" s="15" t="s">
        <v>137</v>
      </c>
      <c r="AR70" s="15" t="s">
        <v>61</v>
      </c>
      <c r="AS70" s="15" t="s">
        <v>193</v>
      </c>
      <c r="AT70" s="15" t="s">
        <v>194</v>
      </c>
    </row>
    <row r="71">
      <c r="A71" s="14">
        <v>45068.62366667824</v>
      </c>
      <c r="B71" s="15" t="s">
        <v>53</v>
      </c>
      <c r="C71" s="15" t="s">
        <v>53</v>
      </c>
      <c r="D71" s="15">
        <v>-5.0</v>
      </c>
      <c r="E71" s="15" t="s">
        <v>53</v>
      </c>
      <c r="F71" s="15">
        <v>4.0</v>
      </c>
      <c r="G71" s="15">
        <v>3.0</v>
      </c>
      <c r="H71" s="15">
        <v>3.0</v>
      </c>
      <c r="I71" s="15">
        <v>5.0</v>
      </c>
      <c r="J71" s="15">
        <v>3.0</v>
      </c>
      <c r="K71" s="15">
        <v>4.0</v>
      </c>
      <c r="L71" s="15">
        <v>2.0</v>
      </c>
      <c r="M71" s="15">
        <v>1.0</v>
      </c>
      <c r="N71" s="15">
        <v>1.0</v>
      </c>
      <c r="O71" s="15">
        <v>1.0</v>
      </c>
      <c r="P71" s="15">
        <v>1.0</v>
      </c>
      <c r="Q71" s="15" t="s">
        <v>55</v>
      </c>
      <c r="R71" s="15" t="s">
        <v>56</v>
      </c>
      <c r="S71" s="15" t="s">
        <v>83</v>
      </c>
      <c r="T71" s="15">
        <v>5.0</v>
      </c>
      <c r="U71" s="15" t="s">
        <v>72</v>
      </c>
      <c r="W71" s="15" t="s">
        <v>77</v>
      </c>
      <c r="AO71" s="15">
        <v>21.0</v>
      </c>
      <c r="AP71" s="15" t="s">
        <v>59</v>
      </c>
      <c r="AQ71" s="15" t="s">
        <v>122</v>
      </c>
      <c r="AR71" s="15" t="s">
        <v>109</v>
      </c>
      <c r="AS71" s="15" t="s">
        <v>69</v>
      </c>
      <c r="AT71" s="15" t="s">
        <v>195</v>
      </c>
    </row>
    <row r="72">
      <c r="A72" s="14">
        <v>45068.627426203704</v>
      </c>
      <c r="B72" s="15" t="s">
        <v>53</v>
      </c>
      <c r="C72" s="15" t="s">
        <v>53</v>
      </c>
      <c r="D72" s="15" t="s">
        <v>104</v>
      </c>
      <c r="T72" s="22">
        <v>3.0</v>
      </c>
      <c r="W72" s="15" t="s">
        <v>77</v>
      </c>
      <c r="X72" s="15" t="s">
        <v>53</v>
      </c>
      <c r="Y72" s="15">
        <v>5.0</v>
      </c>
      <c r="Z72" s="15">
        <v>1.0</v>
      </c>
      <c r="AA72" s="15">
        <v>1.0</v>
      </c>
      <c r="AB72" s="15">
        <v>5.0</v>
      </c>
      <c r="AC72" s="15">
        <v>5.0</v>
      </c>
      <c r="AD72" s="15">
        <v>4.0</v>
      </c>
      <c r="AE72" s="15">
        <v>1.0</v>
      </c>
      <c r="AF72" s="15">
        <v>5.0</v>
      </c>
      <c r="AG72" s="15">
        <v>5.0</v>
      </c>
      <c r="AH72" s="15">
        <v>5.0</v>
      </c>
      <c r="AI72" s="15">
        <v>5.0</v>
      </c>
      <c r="AJ72" s="15" t="s">
        <v>64</v>
      </c>
      <c r="AK72" s="15" t="s">
        <v>57</v>
      </c>
      <c r="AL72" s="15" t="s">
        <v>55</v>
      </c>
      <c r="AM72" s="15">
        <v>3.0</v>
      </c>
      <c r="AN72" s="15" t="s">
        <v>104</v>
      </c>
      <c r="AO72" s="15">
        <v>38.0</v>
      </c>
      <c r="AP72" s="15" t="s">
        <v>67</v>
      </c>
      <c r="AQ72" s="15" t="s">
        <v>60</v>
      </c>
      <c r="AR72" s="15" t="s">
        <v>109</v>
      </c>
      <c r="AS72" s="15" t="s">
        <v>105</v>
      </c>
      <c r="AT72" s="15" t="s">
        <v>196</v>
      </c>
      <c r="AU72" s="15" t="s">
        <v>129</v>
      </c>
    </row>
    <row r="73">
      <c r="A73" s="14">
        <v>45068.63090855324</v>
      </c>
      <c r="B73" s="15" t="s">
        <v>53</v>
      </c>
      <c r="C73" s="15" t="s">
        <v>53</v>
      </c>
      <c r="D73" s="15" t="s">
        <v>54</v>
      </c>
      <c r="T73" s="22">
        <v>4.0</v>
      </c>
      <c r="W73" s="15" t="s">
        <v>77</v>
      </c>
      <c r="X73" s="15" t="s">
        <v>53</v>
      </c>
      <c r="Y73" s="15">
        <v>5.0</v>
      </c>
      <c r="Z73" s="15">
        <v>1.0</v>
      </c>
      <c r="AA73" s="15">
        <v>1.0</v>
      </c>
      <c r="AB73" s="15">
        <v>5.0</v>
      </c>
      <c r="AC73" s="15">
        <v>5.0</v>
      </c>
      <c r="AD73" s="15">
        <v>5.0</v>
      </c>
      <c r="AE73" s="15">
        <v>1.0</v>
      </c>
      <c r="AF73" s="15">
        <v>3.0</v>
      </c>
      <c r="AG73" s="15">
        <v>3.0</v>
      </c>
      <c r="AH73" s="15">
        <v>3.0</v>
      </c>
      <c r="AI73" s="15">
        <v>4.0</v>
      </c>
      <c r="AJ73" s="15" t="s">
        <v>64</v>
      </c>
      <c r="AK73" s="15" t="s">
        <v>55</v>
      </c>
      <c r="AL73" s="15" t="s">
        <v>57</v>
      </c>
      <c r="AM73" s="15">
        <v>4.0</v>
      </c>
      <c r="AN73" s="15" t="s">
        <v>65</v>
      </c>
      <c r="AO73" s="15">
        <v>23.0</v>
      </c>
      <c r="AP73" s="15" t="s">
        <v>67</v>
      </c>
      <c r="AQ73" s="15" t="s">
        <v>68</v>
      </c>
      <c r="AR73" s="15" t="s">
        <v>61</v>
      </c>
      <c r="AS73" s="15" t="s">
        <v>99</v>
      </c>
      <c r="AT73" s="15" t="s">
        <v>197</v>
      </c>
      <c r="AU73" s="15" t="s">
        <v>198</v>
      </c>
    </row>
    <row r="74">
      <c r="A74" s="14">
        <v>45068.63385738426</v>
      </c>
      <c r="B74" s="15" t="s">
        <v>53</v>
      </c>
      <c r="C74" s="15" t="s">
        <v>53</v>
      </c>
      <c r="D74" s="15">
        <v>-3.0</v>
      </c>
      <c r="E74" s="15" t="s">
        <v>53</v>
      </c>
      <c r="F74" s="15">
        <v>3.0</v>
      </c>
      <c r="G74" s="15">
        <v>2.0</v>
      </c>
      <c r="H74" s="15">
        <v>2.0</v>
      </c>
      <c r="I74" s="15">
        <v>5.0</v>
      </c>
      <c r="J74" s="15">
        <v>3.0</v>
      </c>
      <c r="K74" s="15">
        <v>5.0</v>
      </c>
      <c r="L74" s="15">
        <v>1.0</v>
      </c>
      <c r="M74" s="15">
        <v>4.0</v>
      </c>
      <c r="N74" s="15">
        <v>4.0</v>
      </c>
      <c r="O74" s="15">
        <v>3.0</v>
      </c>
      <c r="P74" s="15">
        <v>3.0</v>
      </c>
      <c r="Q74" s="15" t="s">
        <v>55</v>
      </c>
      <c r="R74" s="15" t="s">
        <v>57</v>
      </c>
      <c r="S74" s="15" t="s">
        <v>86</v>
      </c>
      <c r="T74" s="15">
        <v>4.0</v>
      </c>
      <c r="U74" s="15">
        <v>-3.0</v>
      </c>
      <c r="V74" s="15" t="s">
        <v>58</v>
      </c>
      <c r="AO74" s="15">
        <v>20.0</v>
      </c>
      <c r="AP74" s="15" t="s">
        <v>67</v>
      </c>
      <c r="AQ74" s="15" t="s">
        <v>98</v>
      </c>
      <c r="AR74" s="15" t="s">
        <v>61</v>
      </c>
      <c r="AS74" s="15" t="s">
        <v>78</v>
      </c>
      <c r="AT74" s="15" t="s">
        <v>199</v>
      </c>
    </row>
    <row r="75">
      <c r="A75" s="14">
        <v>45068.638567291666</v>
      </c>
      <c r="B75" s="15" t="s">
        <v>53</v>
      </c>
      <c r="C75" s="15" t="s">
        <v>53</v>
      </c>
      <c r="D75" s="15" t="s">
        <v>54</v>
      </c>
      <c r="T75" s="22">
        <v>2.0</v>
      </c>
      <c r="W75" s="15" t="s">
        <v>113</v>
      </c>
      <c r="X75" s="15" t="s">
        <v>53</v>
      </c>
      <c r="Y75" s="15">
        <v>3.0</v>
      </c>
      <c r="Z75" s="15">
        <v>3.0</v>
      </c>
      <c r="AA75" s="15">
        <v>3.0</v>
      </c>
      <c r="AB75" s="15">
        <v>3.0</v>
      </c>
      <c r="AC75" s="15">
        <v>3.0</v>
      </c>
      <c r="AD75" s="15">
        <v>1.0</v>
      </c>
      <c r="AE75" s="15">
        <v>2.0</v>
      </c>
      <c r="AF75" s="15">
        <v>2.0</v>
      </c>
      <c r="AG75" s="15">
        <v>3.0</v>
      </c>
      <c r="AH75" s="15">
        <v>3.0</v>
      </c>
      <c r="AI75" s="15">
        <v>3.0</v>
      </c>
      <c r="AJ75" s="15" t="s">
        <v>55</v>
      </c>
      <c r="AK75" s="15" t="s">
        <v>92</v>
      </c>
      <c r="AL75" s="15" t="s">
        <v>57</v>
      </c>
      <c r="AM75" s="15">
        <v>2.0</v>
      </c>
      <c r="AN75" s="15" t="s">
        <v>72</v>
      </c>
      <c r="AO75" s="15">
        <v>25.0</v>
      </c>
      <c r="AP75" s="15" t="s">
        <v>59</v>
      </c>
      <c r="AQ75" s="15" t="s">
        <v>98</v>
      </c>
      <c r="AR75" s="15" t="s">
        <v>61</v>
      </c>
      <c r="AS75" s="15" t="s">
        <v>105</v>
      </c>
      <c r="AT75" s="15" t="s">
        <v>200</v>
      </c>
    </row>
    <row r="76">
      <c r="A76" s="14">
        <v>45068.64217550926</v>
      </c>
      <c r="B76" s="15" t="s">
        <v>53</v>
      </c>
      <c r="C76" s="15" t="s">
        <v>53</v>
      </c>
      <c r="D76" s="15" t="s">
        <v>65</v>
      </c>
      <c r="T76" s="22">
        <v>4.0</v>
      </c>
      <c r="V76" s="15" t="s">
        <v>58</v>
      </c>
      <c r="X76" s="15" t="s">
        <v>53</v>
      </c>
      <c r="Y76" s="15">
        <v>2.0</v>
      </c>
      <c r="Z76" s="15">
        <v>3.0</v>
      </c>
      <c r="AA76" s="15">
        <v>2.0</v>
      </c>
      <c r="AB76" s="15">
        <v>4.0</v>
      </c>
      <c r="AC76" s="15">
        <v>2.0</v>
      </c>
      <c r="AD76" s="15">
        <v>4.0</v>
      </c>
      <c r="AE76" s="15">
        <v>1.0</v>
      </c>
      <c r="AF76" s="15">
        <v>2.0</v>
      </c>
      <c r="AG76" s="15">
        <v>2.0</v>
      </c>
      <c r="AH76" s="15">
        <v>2.0</v>
      </c>
      <c r="AI76" s="15">
        <v>2.0</v>
      </c>
      <c r="AJ76" s="15" t="s">
        <v>55</v>
      </c>
      <c r="AK76" s="15" t="s">
        <v>64</v>
      </c>
      <c r="AL76" s="15" t="s">
        <v>92</v>
      </c>
      <c r="AM76" s="15">
        <v>4.0</v>
      </c>
      <c r="AN76" s="15">
        <v>-1.0</v>
      </c>
      <c r="AO76" s="15">
        <v>25.0</v>
      </c>
      <c r="AP76" s="15" t="s">
        <v>67</v>
      </c>
      <c r="AQ76" s="15" t="s">
        <v>68</v>
      </c>
      <c r="AR76" s="15" t="s">
        <v>140</v>
      </c>
      <c r="AS76" s="15" t="s">
        <v>110</v>
      </c>
      <c r="AT76" s="15" t="s">
        <v>201</v>
      </c>
    </row>
    <row r="77">
      <c r="A77" s="14">
        <v>45068.64298253472</v>
      </c>
      <c r="B77" s="15" t="s">
        <v>53</v>
      </c>
      <c r="C77" s="15" t="s">
        <v>53</v>
      </c>
      <c r="D77" s="15" t="s">
        <v>54</v>
      </c>
      <c r="T77" s="22">
        <v>5.0</v>
      </c>
      <c r="W77" s="15" t="s">
        <v>77</v>
      </c>
      <c r="X77" s="15" t="s">
        <v>53</v>
      </c>
      <c r="Y77" s="15">
        <v>4.0</v>
      </c>
      <c r="Z77" s="15">
        <v>1.0</v>
      </c>
      <c r="AA77" s="15">
        <v>1.0</v>
      </c>
      <c r="AB77" s="15">
        <v>3.0</v>
      </c>
      <c r="AC77" s="15">
        <v>4.0</v>
      </c>
      <c r="AD77" s="15">
        <v>5.0</v>
      </c>
      <c r="AE77" s="15">
        <v>1.0</v>
      </c>
      <c r="AF77" s="15">
        <v>3.0</v>
      </c>
      <c r="AG77" s="15">
        <v>4.0</v>
      </c>
      <c r="AH77" s="15">
        <v>3.0</v>
      </c>
      <c r="AI77" s="15">
        <v>3.0</v>
      </c>
      <c r="AJ77" s="15" t="s">
        <v>64</v>
      </c>
      <c r="AK77" s="15" t="s">
        <v>55</v>
      </c>
      <c r="AL77" s="15" t="s">
        <v>57</v>
      </c>
      <c r="AM77" s="15">
        <v>5.0</v>
      </c>
      <c r="AN77" s="15" t="s">
        <v>72</v>
      </c>
      <c r="AO77" s="15">
        <v>22.0</v>
      </c>
      <c r="AP77" s="15" t="s">
        <v>67</v>
      </c>
      <c r="AQ77" s="15" t="s">
        <v>98</v>
      </c>
      <c r="AR77" s="15" t="s">
        <v>61</v>
      </c>
      <c r="AS77" s="15" t="s">
        <v>69</v>
      </c>
      <c r="AT77" s="15" t="s">
        <v>202</v>
      </c>
    </row>
    <row r="78">
      <c r="A78" s="14">
        <v>45068.64504393519</v>
      </c>
      <c r="B78" s="15" t="s">
        <v>53</v>
      </c>
      <c r="C78" s="15" t="s">
        <v>53</v>
      </c>
      <c r="D78" s="15" t="s">
        <v>65</v>
      </c>
      <c r="T78" s="22">
        <v>4.0</v>
      </c>
      <c r="V78" s="15" t="s">
        <v>58</v>
      </c>
      <c r="X78" s="15" t="s">
        <v>53</v>
      </c>
      <c r="Y78" s="15">
        <v>4.0</v>
      </c>
      <c r="Z78" s="15">
        <v>2.0</v>
      </c>
      <c r="AA78" s="15">
        <v>3.0</v>
      </c>
      <c r="AB78" s="15">
        <v>4.0</v>
      </c>
      <c r="AC78" s="15">
        <v>2.0</v>
      </c>
      <c r="AD78" s="15">
        <v>2.0</v>
      </c>
      <c r="AE78" s="15">
        <v>3.0</v>
      </c>
      <c r="AF78" s="15">
        <v>2.0</v>
      </c>
      <c r="AG78" s="15">
        <v>2.0</v>
      </c>
      <c r="AH78" s="15">
        <v>2.0</v>
      </c>
      <c r="AI78" s="15">
        <v>2.0</v>
      </c>
      <c r="AJ78" s="15" t="s">
        <v>86</v>
      </c>
      <c r="AK78" s="15" t="s">
        <v>57</v>
      </c>
      <c r="AL78" s="15" t="s">
        <v>64</v>
      </c>
      <c r="AM78" s="15">
        <v>4.0</v>
      </c>
      <c r="AN78" s="15">
        <v>-1.0</v>
      </c>
      <c r="AO78" s="15">
        <v>35.0</v>
      </c>
      <c r="AP78" s="15" t="s">
        <v>59</v>
      </c>
      <c r="AQ78" s="15" t="s">
        <v>60</v>
      </c>
      <c r="AR78" s="15" t="s">
        <v>109</v>
      </c>
      <c r="AS78" s="15" t="s">
        <v>93</v>
      </c>
      <c r="AT78" s="15" t="s">
        <v>203</v>
      </c>
      <c r="AU78" s="15" t="s">
        <v>129</v>
      </c>
    </row>
    <row r="79">
      <c r="A79" s="14">
        <v>45068.64826130787</v>
      </c>
      <c r="B79" s="15" t="s">
        <v>53</v>
      </c>
      <c r="C79" s="15" t="s">
        <v>53</v>
      </c>
      <c r="D79" s="15">
        <v>-3.0</v>
      </c>
      <c r="E79" s="15" t="s">
        <v>53</v>
      </c>
      <c r="F79" s="15">
        <v>2.0</v>
      </c>
      <c r="G79" s="15">
        <v>4.0</v>
      </c>
      <c r="H79" s="15">
        <v>4.0</v>
      </c>
      <c r="I79" s="15">
        <v>5.0</v>
      </c>
      <c r="J79" s="15">
        <v>2.0</v>
      </c>
      <c r="K79" s="15">
        <v>4.0</v>
      </c>
      <c r="L79" s="15">
        <v>1.0</v>
      </c>
      <c r="M79" s="15">
        <v>3.0</v>
      </c>
      <c r="N79" s="15">
        <v>4.0</v>
      </c>
      <c r="O79" s="15">
        <v>4.0</v>
      </c>
      <c r="P79" s="15">
        <v>4.0</v>
      </c>
      <c r="Q79" s="15" t="s">
        <v>92</v>
      </c>
      <c r="R79" s="15" t="s">
        <v>55</v>
      </c>
      <c r="S79" s="15" t="s">
        <v>83</v>
      </c>
      <c r="T79" s="15">
        <v>4.0</v>
      </c>
      <c r="U79" s="15" t="s">
        <v>65</v>
      </c>
      <c r="W79" s="15" t="s">
        <v>77</v>
      </c>
      <c r="AO79" s="15">
        <v>20.0</v>
      </c>
      <c r="AP79" s="15" t="s">
        <v>67</v>
      </c>
      <c r="AQ79" s="15" t="s">
        <v>60</v>
      </c>
      <c r="AR79" s="15" t="s">
        <v>61</v>
      </c>
      <c r="AS79" s="15" t="s">
        <v>99</v>
      </c>
      <c r="AT79" s="15" t="s">
        <v>204</v>
      </c>
    </row>
    <row r="80">
      <c r="A80" s="14">
        <v>45068.666038043986</v>
      </c>
      <c r="B80" s="15" t="s">
        <v>53</v>
      </c>
      <c r="C80" s="15" t="s">
        <v>53</v>
      </c>
      <c r="D80" s="15" t="s">
        <v>72</v>
      </c>
      <c r="T80" s="22">
        <v>4.0</v>
      </c>
      <c r="W80" s="15" t="s">
        <v>77</v>
      </c>
      <c r="X80" s="15" t="s">
        <v>53</v>
      </c>
      <c r="Y80" s="15">
        <v>4.0</v>
      </c>
      <c r="Z80" s="15">
        <v>2.0</v>
      </c>
      <c r="AA80" s="15">
        <v>2.0</v>
      </c>
      <c r="AB80" s="15">
        <v>4.0</v>
      </c>
      <c r="AC80" s="15">
        <v>4.0</v>
      </c>
      <c r="AD80" s="15">
        <v>4.0</v>
      </c>
      <c r="AE80" s="15">
        <v>2.0</v>
      </c>
      <c r="AF80" s="15">
        <v>3.0</v>
      </c>
      <c r="AG80" s="15">
        <v>3.0</v>
      </c>
      <c r="AH80" s="15">
        <v>4.0</v>
      </c>
      <c r="AI80" s="15">
        <v>4.0</v>
      </c>
      <c r="AJ80" s="15" t="s">
        <v>55</v>
      </c>
      <c r="AK80" s="15" t="s">
        <v>64</v>
      </c>
      <c r="AL80" s="15" t="s">
        <v>83</v>
      </c>
      <c r="AM80" s="15">
        <v>4.0</v>
      </c>
      <c r="AN80" s="15" t="s">
        <v>65</v>
      </c>
      <c r="AO80" s="15">
        <v>19.0</v>
      </c>
      <c r="AP80" s="15" t="s">
        <v>67</v>
      </c>
      <c r="AQ80" s="15" t="s">
        <v>60</v>
      </c>
      <c r="AR80" s="15" t="s">
        <v>61</v>
      </c>
      <c r="AS80" s="15" t="s">
        <v>78</v>
      </c>
      <c r="AT80" s="15" t="s">
        <v>205</v>
      </c>
    </row>
    <row r="81">
      <c r="A81" s="14">
        <v>45068.67162638889</v>
      </c>
      <c r="B81" s="15" t="s">
        <v>53</v>
      </c>
      <c r="C81" s="15" t="s">
        <v>53</v>
      </c>
      <c r="D81" s="15">
        <v>-5.0</v>
      </c>
      <c r="E81" s="15" t="s">
        <v>53</v>
      </c>
      <c r="F81" s="15">
        <v>5.0</v>
      </c>
      <c r="G81" s="15">
        <v>1.0</v>
      </c>
      <c r="H81" s="15">
        <v>5.0</v>
      </c>
      <c r="I81" s="15">
        <v>5.0</v>
      </c>
      <c r="J81" s="15">
        <v>4.0</v>
      </c>
      <c r="K81" s="15">
        <v>5.0</v>
      </c>
      <c r="L81" s="15">
        <v>1.0</v>
      </c>
      <c r="M81" s="15">
        <v>3.0</v>
      </c>
      <c r="N81" s="15">
        <v>5.0</v>
      </c>
      <c r="O81" s="15">
        <v>5.0</v>
      </c>
      <c r="P81" s="15">
        <v>5.0</v>
      </c>
      <c r="Q81" s="15" t="s">
        <v>55</v>
      </c>
      <c r="R81" s="15" t="s">
        <v>64</v>
      </c>
      <c r="S81" s="15" t="s">
        <v>57</v>
      </c>
      <c r="T81" s="15">
        <v>3.0</v>
      </c>
      <c r="U81" s="15">
        <v>-5.0</v>
      </c>
      <c r="V81" s="15" t="s">
        <v>80</v>
      </c>
      <c r="AO81" s="15">
        <v>21.0</v>
      </c>
      <c r="AP81" s="15" t="s">
        <v>67</v>
      </c>
      <c r="AQ81" s="15" t="s">
        <v>60</v>
      </c>
      <c r="AR81" s="15" t="s">
        <v>61</v>
      </c>
      <c r="AS81" s="15" t="s">
        <v>99</v>
      </c>
      <c r="AT81" s="15" t="s">
        <v>206</v>
      </c>
      <c r="AU81" s="15" t="s">
        <v>207</v>
      </c>
    </row>
    <row r="82">
      <c r="A82" s="14">
        <v>45068.671699328705</v>
      </c>
      <c r="B82" s="15" t="s">
        <v>53</v>
      </c>
      <c r="C82" s="15" t="s">
        <v>53</v>
      </c>
      <c r="D82" s="15">
        <v>-5.0</v>
      </c>
      <c r="E82" s="15" t="s">
        <v>53</v>
      </c>
      <c r="F82" s="15">
        <v>3.0</v>
      </c>
      <c r="G82" s="15">
        <v>3.0</v>
      </c>
      <c r="H82" s="15">
        <v>2.0</v>
      </c>
      <c r="I82" s="15">
        <v>4.0</v>
      </c>
      <c r="J82" s="15">
        <v>2.0</v>
      </c>
      <c r="K82" s="15">
        <v>1.0</v>
      </c>
      <c r="L82" s="15">
        <v>5.0</v>
      </c>
      <c r="M82" s="15">
        <v>4.0</v>
      </c>
      <c r="N82" s="15">
        <v>1.0</v>
      </c>
      <c r="O82" s="15">
        <v>1.0</v>
      </c>
      <c r="P82" s="15">
        <v>1.0</v>
      </c>
      <c r="Q82" s="15" t="s">
        <v>57</v>
      </c>
      <c r="R82" s="15" t="s">
        <v>86</v>
      </c>
      <c r="S82" s="15" t="s">
        <v>64</v>
      </c>
      <c r="T82" s="15">
        <v>4.0</v>
      </c>
      <c r="U82" s="15">
        <v>-5.0</v>
      </c>
      <c r="V82" s="15" t="s">
        <v>102</v>
      </c>
      <c r="AO82" s="15">
        <v>42.0</v>
      </c>
      <c r="AP82" s="15" t="s">
        <v>67</v>
      </c>
      <c r="AQ82" s="15" t="s">
        <v>60</v>
      </c>
      <c r="AR82" s="15" t="s">
        <v>109</v>
      </c>
      <c r="AS82" s="15" t="s">
        <v>105</v>
      </c>
      <c r="AT82" s="15" t="s">
        <v>208</v>
      </c>
    </row>
    <row r="83">
      <c r="A83" s="14">
        <v>45068.675096562496</v>
      </c>
      <c r="B83" s="15" t="s">
        <v>53</v>
      </c>
      <c r="C83" s="15" t="s">
        <v>53</v>
      </c>
      <c r="D83" s="15" t="s">
        <v>54</v>
      </c>
      <c r="T83" s="22">
        <v>5.0</v>
      </c>
      <c r="V83" s="15" t="s">
        <v>80</v>
      </c>
      <c r="X83" s="15" t="s">
        <v>97</v>
      </c>
      <c r="Y83" s="15">
        <v>1.0</v>
      </c>
      <c r="Z83" s="15">
        <v>5.0</v>
      </c>
      <c r="AA83" s="15">
        <v>5.0</v>
      </c>
      <c r="AB83" s="15">
        <v>5.0</v>
      </c>
      <c r="AC83" s="15">
        <v>1.0</v>
      </c>
      <c r="AD83" s="15">
        <v>5.0</v>
      </c>
      <c r="AE83" s="15">
        <v>1.0</v>
      </c>
      <c r="AF83" s="15">
        <v>4.0</v>
      </c>
      <c r="AG83" s="15">
        <v>5.0</v>
      </c>
      <c r="AH83" s="15">
        <v>5.0</v>
      </c>
      <c r="AI83" s="15">
        <v>5.0</v>
      </c>
      <c r="AJ83" s="15" t="s">
        <v>83</v>
      </c>
      <c r="AK83" s="15" t="s">
        <v>55</v>
      </c>
      <c r="AL83" s="15" t="s">
        <v>56</v>
      </c>
      <c r="AM83" s="15">
        <v>5.0</v>
      </c>
      <c r="AN83" s="15">
        <v>-5.0</v>
      </c>
      <c r="AO83" s="15">
        <v>22.0</v>
      </c>
      <c r="AP83" s="15" t="s">
        <v>67</v>
      </c>
      <c r="AQ83" s="15" t="s">
        <v>60</v>
      </c>
      <c r="AR83" s="15" t="s">
        <v>61</v>
      </c>
      <c r="AS83" s="15" t="s">
        <v>78</v>
      </c>
      <c r="AT83" s="15" t="s">
        <v>209</v>
      </c>
    </row>
    <row r="84">
      <c r="A84" s="14">
        <v>45068.67791266204</v>
      </c>
      <c r="B84" s="15" t="s">
        <v>53</v>
      </c>
      <c r="C84" s="15" t="s">
        <v>53</v>
      </c>
      <c r="D84" s="15" t="s">
        <v>85</v>
      </c>
      <c r="T84" s="22">
        <v>4.0</v>
      </c>
      <c r="W84" s="15" t="s">
        <v>77</v>
      </c>
      <c r="X84" s="15" t="s">
        <v>53</v>
      </c>
      <c r="Y84" s="15">
        <v>5.0</v>
      </c>
      <c r="Z84" s="15">
        <v>1.0</v>
      </c>
      <c r="AA84" s="15">
        <v>1.0</v>
      </c>
      <c r="AB84" s="15">
        <v>3.0</v>
      </c>
      <c r="AC84" s="15">
        <v>4.0</v>
      </c>
      <c r="AD84" s="15">
        <v>5.0</v>
      </c>
      <c r="AE84" s="15">
        <v>1.0</v>
      </c>
      <c r="AF84" s="15">
        <v>3.0</v>
      </c>
      <c r="AG84" s="15">
        <v>4.0</v>
      </c>
      <c r="AH84" s="15">
        <v>4.0</v>
      </c>
      <c r="AI84" s="15">
        <v>4.0</v>
      </c>
      <c r="AJ84" s="15" t="s">
        <v>57</v>
      </c>
      <c r="AK84" s="15" t="s">
        <v>56</v>
      </c>
      <c r="AL84" s="15" t="s">
        <v>83</v>
      </c>
      <c r="AM84" s="15">
        <v>4.0</v>
      </c>
      <c r="AN84" s="15" t="s">
        <v>85</v>
      </c>
      <c r="AO84" s="15">
        <v>22.0</v>
      </c>
      <c r="AP84" s="15" t="s">
        <v>67</v>
      </c>
      <c r="AQ84" s="15" t="s">
        <v>120</v>
      </c>
      <c r="AR84" s="15" t="s">
        <v>61</v>
      </c>
      <c r="AS84" s="15" t="s">
        <v>69</v>
      </c>
      <c r="AT84" s="15" t="s">
        <v>210</v>
      </c>
    </row>
    <row r="85">
      <c r="A85" s="14">
        <v>45068.67819535879</v>
      </c>
      <c r="B85" s="15" t="s">
        <v>53</v>
      </c>
      <c r="C85" s="15" t="s">
        <v>53</v>
      </c>
      <c r="D85" s="15" t="s">
        <v>72</v>
      </c>
      <c r="T85" s="22">
        <v>1.0</v>
      </c>
      <c r="W85" s="15" t="s">
        <v>113</v>
      </c>
      <c r="X85" s="15" t="s">
        <v>53</v>
      </c>
      <c r="Y85" s="15">
        <v>5.0</v>
      </c>
      <c r="Z85" s="15">
        <v>1.0</v>
      </c>
      <c r="AA85" s="15">
        <v>1.0</v>
      </c>
      <c r="AB85" s="15">
        <v>4.0</v>
      </c>
      <c r="AC85" s="15">
        <v>5.0</v>
      </c>
      <c r="AD85" s="15">
        <v>1.0</v>
      </c>
      <c r="AE85" s="15">
        <v>3.0</v>
      </c>
      <c r="AF85" s="15">
        <v>3.0</v>
      </c>
      <c r="AG85" s="15">
        <v>1.0</v>
      </c>
      <c r="AH85" s="15">
        <v>1.0</v>
      </c>
      <c r="AI85" s="15">
        <v>1.0</v>
      </c>
      <c r="AJ85" s="15" t="s">
        <v>56</v>
      </c>
      <c r="AK85" s="15" t="s">
        <v>92</v>
      </c>
      <c r="AL85" s="15" t="s">
        <v>57</v>
      </c>
      <c r="AM85" s="15">
        <v>1.0</v>
      </c>
      <c r="AN85" s="15" t="s">
        <v>54</v>
      </c>
      <c r="AO85" s="15">
        <v>23.0</v>
      </c>
      <c r="AP85" s="15" t="s">
        <v>67</v>
      </c>
      <c r="AQ85" s="15" t="s">
        <v>60</v>
      </c>
      <c r="AR85" s="15" t="s">
        <v>61</v>
      </c>
      <c r="AS85" s="15" t="s">
        <v>62</v>
      </c>
      <c r="AT85" s="15" t="s">
        <v>211</v>
      </c>
      <c r="AU85" s="15" t="s">
        <v>212</v>
      </c>
    </row>
    <row r="86">
      <c r="A86" s="14">
        <v>45068.67906425926</v>
      </c>
      <c r="B86" s="15" t="s">
        <v>53</v>
      </c>
      <c r="C86" s="15" t="s">
        <v>53</v>
      </c>
      <c r="D86" s="15" t="s">
        <v>72</v>
      </c>
      <c r="T86" s="22">
        <v>5.0</v>
      </c>
      <c r="V86" s="15" t="s">
        <v>58</v>
      </c>
      <c r="X86" s="15" t="s">
        <v>53</v>
      </c>
      <c r="Y86" s="15">
        <v>4.0</v>
      </c>
      <c r="Z86" s="15">
        <v>2.0</v>
      </c>
      <c r="AA86" s="15">
        <v>2.0</v>
      </c>
      <c r="AB86" s="15">
        <v>4.0</v>
      </c>
      <c r="AC86" s="15">
        <v>2.0</v>
      </c>
      <c r="AD86" s="15">
        <v>4.0</v>
      </c>
      <c r="AE86" s="15">
        <v>2.0</v>
      </c>
      <c r="AF86" s="15">
        <v>3.0</v>
      </c>
      <c r="AG86" s="15">
        <v>3.0</v>
      </c>
      <c r="AH86" s="15">
        <v>3.0</v>
      </c>
      <c r="AI86" s="15">
        <v>4.0</v>
      </c>
      <c r="AJ86" s="15" t="s">
        <v>55</v>
      </c>
      <c r="AK86" s="15" t="s">
        <v>56</v>
      </c>
      <c r="AL86" s="15" t="s">
        <v>86</v>
      </c>
      <c r="AM86" s="15">
        <v>5.0</v>
      </c>
      <c r="AN86" s="15">
        <v>-2.0</v>
      </c>
      <c r="AO86" s="15">
        <v>22.0</v>
      </c>
      <c r="AP86" s="15" t="s">
        <v>59</v>
      </c>
      <c r="AQ86" s="15" t="s">
        <v>166</v>
      </c>
      <c r="AR86" s="15" t="s">
        <v>61</v>
      </c>
      <c r="AS86" s="15" t="s">
        <v>69</v>
      </c>
      <c r="AT86" s="15" t="s">
        <v>213</v>
      </c>
    </row>
    <row r="87">
      <c r="A87" s="14">
        <v>45068.68002373843</v>
      </c>
      <c r="B87" s="15" t="s">
        <v>53</v>
      </c>
      <c r="C87" s="15" t="s">
        <v>53</v>
      </c>
      <c r="D87" s="15" t="s">
        <v>72</v>
      </c>
      <c r="T87" s="22">
        <v>4.0</v>
      </c>
      <c r="W87" s="15" t="s">
        <v>113</v>
      </c>
      <c r="X87" s="15" t="s">
        <v>53</v>
      </c>
      <c r="Y87" s="15">
        <v>2.0</v>
      </c>
      <c r="Z87" s="15">
        <v>4.0</v>
      </c>
      <c r="AA87" s="15">
        <v>3.0</v>
      </c>
      <c r="AB87" s="15">
        <v>4.0</v>
      </c>
      <c r="AC87" s="15">
        <v>2.0</v>
      </c>
      <c r="AD87" s="15">
        <v>1.0</v>
      </c>
      <c r="AE87" s="15">
        <v>3.0</v>
      </c>
      <c r="AF87" s="15">
        <v>2.0</v>
      </c>
      <c r="AG87" s="15">
        <v>1.0</v>
      </c>
      <c r="AH87" s="15">
        <v>1.0</v>
      </c>
      <c r="AI87" s="15">
        <v>1.0</v>
      </c>
      <c r="AJ87" s="15" t="s">
        <v>55</v>
      </c>
      <c r="AK87" s="15" t="s">
        <v>83</v>
      </c>
      <c r="AL87" s="15" t="s">
        <v>64</v>
      </c>
      <c r="AM87" s="15">
        <v>4.0</v>
      </c>
      <c r="AN87" s="15" t="s">
        <v>72</v>
      </c>
      <c r="AO87" s="15">
        <v>21.0</v>
      </c>
      <c r="AP87" s="15" t="s">
        <v>67</v>
      </c>
      <c r="AQ87" s="15" t="s">
        <v>60</v>
      </c>
      <c r="AR87" s="15" t="s">
        <v>61</v>
      </c>
      <c r="AS87" s="15" t="s">
        <v>78</v>
      </c>
      <c r="AT87" s="15" t="s">
        <v>214</v>
      </c>
    </row>
    <row r="88">
      <c r="A88" s="14">
        <v>45068.682175625</v>
      </c>
      <c r="B88" s="15" t="s">
        <v>53</v>
      </c>
      <c r="C88" s="15" t="s">
        <v>53</v>
      </c>
      <c r="D88" s="15" t="s">
        <v>54</v>
      </c>
      <c r="T88" s="22">
        <v>3.0</v>
      </c>
      <c r="W88" s="15" t="s">
        <v>108</v>
      </c>
      <c r="X88" s="15" t="s">
        <v>53</v>
      </c>
      <c r="Y88" s="15">
        <v>3.0</v>
      </c>
      <c r="Z88" s="15">
        <v>2.0</v>
      </c>
      <c r="AA88" s="15">
        <v>4.0</v>
      </c>
      <c r="AB88" s="15">
        <v>3.0</v>
      </c>
      <c r="AC88" s="15">
        <v>4.0</v>
      </c>
      <c r="AD88" s="15">
        <v>3.0</v>
      </c>
      <c r="AE88" s="15">
        <v>3.0</v>
      </c>
      <c r="AF88" s="15">
        <v>3.0</v>
      </c>
      <c r="AG88" s="15">
        <v>3.0</v>
      </c>
      <c r="AH88" s="15">
        <v>3.0</v>
      </c>
      <c r="AI88" s="15">
        <v>3.0</v>
      </c>
      <c r="AJ88" s="15" t="s">
        <v>57</v>
      </c>
      <c r="AK88" s="15" t="s">
        <v>56</v>
      </c>
      <c r="AL88" s="15" t="s">
        <v>83</v>
      </c>
      <c r="AM88" s="15">
        <v>3.0</v>
      </c>
      <c r="AN88" s="15" t="s">
        <v>65</v>
      </c>
      <c r="AO88" s="15">
        <v>19.0</v>
      </c>
      <c r="AP88" s="15" t="s">
        <v>67</v>
      </c>
      <c r="AQ88" s="15" t="s">
        <v>98</v>
      </c>
      <c r="AR88" s="15" t="s">
        <v>109</v>
      </c>
      <c r="AS88" s="15" t="s">
        <v>125</v>
      </c>
      <c r="AT88" s="15" t="s">
        <v>215</v>
      </c>
    </row>
    <row r="89">
      <c r="A89" s="14">
        <v>45068.68275501157</v>
      </c>
      <c r="B89" s="15" t="s">
        <v>53</v>
      </c>
      <c r="C89" s="15" t="s">
        <v>53</v>
      </c>
      <c r="D89" s="15" t="s">
        <v>85</v>
      </c>
      <c r="T89" s="22">
        <v>5.0</v>
      </c>
      <c r="V89" s="15" t="s">
        <v>80</v>
      </c>
      <c r="X89" s="15" t="s">
        <v>53</v>
      </c>
      <c r="Y89" s="15">
        <v>4.0</v>
      </c>
      <c r="Z89" s="15">
        <v>3.0</v>
      </c>
      <c r="AA89" s="15">
        <v>3.0</v>
      </c>
      <c r="AB89" s="15">
        <v>4.0</v>
      </c>
      <c r="AC89" s="15">
        <v>3.0</v>
      </c>
      <c r="AD89" s="15">
        <v>5.0</v>
      </c>
      <c r="AE89" s="15">
        <v>1.0</v>
      </c>
      <c r="AF89" s="15">
        <v>4.0</v>
      </c>
      <c r="AG89" s="15">
        <v>4.0</v>
      </c>
      <c r="AH89" s="15">
        <v>4.0</v>
      </c>
      <c r="AI89" s="15">
        <v>4.0</v>
      </c>
      <c r="AJ89" s="15" t="s">
        <v>55</v>
      </c>
      <c r="AK89" s="15" t="s">
        <v>64</v>
      </c>
      <c r="AL89" s="15" t="s">
        <v>57</v>
      </c>
      <c r="AM89" s="15">
        <v>5.0</v>
      </c>
      <c r="AN89" s="15">
        <v>-3.0</v>
      </c>
      <c r="AO89" s="15">
        <v>26.0</v>
      </c>
      <c r="AP89" s="15" t="s">
        <v>67</v>
      </c>
      <c r="AQ89" s="15" t="s">
        <v>60</v>
      </c>
      <c r="AR89" s="15" t="s">
        <v>61</v>
      </c>
      <c r="AS89" s="15" t="s">
        <v>125</v>
      </c>
      <c r="AT89" s="15" t="s">
        <v>216</v>
      </c>
      <c r="AU89" s="15" t="s">
        <v>217</v>
      </c>
    </row>
    <row r="90">
      <c r="A90" s="14">
        <v>45068.68371054398</v>
      </c>
      <c r="B90" s="15" t="s">
        <v>53</v>
      </c>
      <c r="C90" s="15" t="s">
        <v>53</v>
      </c>
      <c r="D90" s="15" t="s">
        <v>72</v>
      </c>
      <c r="T90" s="22">
        <v>4.0</v>
      </c>
      <c r="V90" s="15" t="s">
        <v>66</v>
      </c>
      <c r="X90" s="15" t="s">
        <v>53</v>
      </c>
      <c r="Y90" s="15">
        <v>2.0</v>
      </c>
      <c r="Z90" s="15">
        <v>5.0</v>
      </c>
      <c r="AA90" s="15">
        <v>5.0</v>
      </c>
      <c r="AB90" s="15">
        <v>5.0</v>
      </c>
      <c r="AC90" s="15">
        <v>2.0</v>
      </c>
      <c r="AD90" s="15">
        <v>5.0</v>
      </c>
      <c r="AE90" s="15">
        <v>1.0</v>
      </c>
      <c r="AF90" s="15">
        <v>4.0</v>
      </c>
      <c r="AG90" s="15">
        <v>5.0</v>
      </c>
      <c r="AH90" s="15">
        <v>5.0</v>
      </c>
      <c r="AI90" s="15">
        <v>5.0</v>
      </c>
      <c r="AJ90" s="15" t="s">
        <v>55</v>
      </c>
      <c r="AK90" s="15" t="s">
        <v>92</v>
      </c>
      <c r="AL90" s="15" t="s">
        <v>64</v>
      </c>
      <c r="AM90" s="15">
        <v>4.0</v>
      </c>
      <c r="AN90" s="15">
        <v>-3.0</v>
      </c>
      <c r="AO90" s="15">
        <v>18.0</v>
      </c>
      <c r="AP90" s="15" t="s">
        <v>67</v>
      </c>
      <c r="AQ90" s="15" t="s">
        <v>60</v>
      </c>
      <c r="AR90" s="15" t="s">
        <v>109</v>
      </c>
      <c r="AS90" s="15" t="s">
        <v>69</v>
      </c>
      <c r="AT90" s="15" t="s">
        <v>218</v>
      </c>
    </row>
    <row r="91">
      <c r="A91" s="14">
        <v>45068.68484640046</v>
      </c>
      <c r="B91" s="15" t="s">
        <v>53</v>
      </c>
      <c r="C91" s="15" t="s">
        <v>53</v>
      </c>
      <c r="D91" s="15">
        <v>-5.0</v>
      </c>
      <c r="E91" s="15" t="s">
        <v>53</v>
      </c>
      <c r="F91" s="15">
        <v>5.0</v>
      </c>
      <c r="G91" s="15">
        <v>1.0</v>
      </c>
      <c r="H91" s="15">
        <v>3.0</v>
      </c>
      <c r="I91" s="15">
        <v>5.0</v>
      </c>
      <c r="J91" s="15">
        <v>3.0</v>
      </c>
      <c r="K91" s="15">
        <v>5.0</v>
      </c>
      <c r="L91" s="15">
        <v>1.0</v>
      </c>
      <c r="M91" s="15">
        <v>1.0</v>
      </c>
      <c r="N91" s="15">
        <v>1.0</v>
      </c>
      <c r="O91" s="15">
        <v>1.0</v>
      </c>
      <c r="P91" s="15">
        <v>1.0</v>
      </c>
      <c r="Q91" s="15" t="s">
        <v>55</v>
      </c>
      <c r="R91" s="15" t="s">
        <v>57</v>
      </c>
      <c r="S91" s="15" t="s">
        <v>92</v>
      </c>
      <c r="T91" s="15">
        <v>4.0</v>
      </c>
      <c r="U91" s="15">
        <v>-5.0</v>
      </c>
      <c r="V91" s="15" t="s">
        <v>80</v>
      </c>
      <c r="AO91" s="15">
        <v>28.0</v>
      </c>
      <c r="AP91" s="15" t="s">
        <v>59</v>
      </c>
      <c r="AQ91" s="15" t="s">
        <v>60</v>
      </c>
      <c r="AR91" s="15" t="s">
        <v>140</v>
      </c>
      <c r="AS91" s="15" t="s">
        <v>110</v>
      </c>
      <c r="AT91" s="15" t="s">
        <v>219</v>
      </c>
      <c r="AU91" s="15" t="s">
        <v>220</v>
      </c>
    </row>
    <row r="92">
      <c r="A92" s="14">
        <v>45068.69116553241</v>
      </c>
      <c r="B92" s="15" t="s">
        <v>53</v>
      </c>
      <c r="C92" s="15" t="s">
        <v>53</v>
      </c>
      <c r="D92" s="15">
        <v>-2.0</v>
      </c>
      <c r="E92" s="15" t="s">
        <v>53</v>
      </c>
      <c r="F92" s="15">
        <v>2.0</v>
      </c>
      <c r="G92" s="15">
        <v>4.0</v>
      </c>
      <c r="H92" s="15">
        <v>3.0</v>
      </c>
      <c r="I92" s="15">
        <v>5.0</v>
      </c>
      <c r="J92" s="15">
        <v>3.0</v>
      </c>
      <c r="K92" s="15">
        <v>2.0</v>
      </c>
      <c r="L92" s="15">
        <v>3.0</v>
      </c>
      <c r="M92" s="15">
        <v>4.0</v>
      </c>
      <c r="N92" s="15">
        <v>3.0</v>
      </c>
      <c r="O92" s="15">
        <v>3.0</v>
      </c>
      <c r="P92" s="15">
        <v>3.0</v>
      </c>
      <c r="Q92" s="15" t="s">
        <v>55</v>
      </c>
      <c r="R92" s="15" t="s">
        <v>64</v>
      </c>
      <c r="S92" s="15" t="s">
        <v>83</v>
      </c>
      <c r="T92" s="15">
        <v>5.0</v>
      </c>
      <c r="U92" s="15">
        <v>-3.0</v>
      </c>
      <c r="V92" s="15" t="s">
        <v>221</v>
      </c>
      <c r="AO92" s="15">
        <v>20.0</v>
      </c>
      <c r="AP92" s="15" t="s">
        <v>67</v>
      </c>
      <c r="AQ92" s="15" t="s">
        <v>60</v>
      </c>
      <c r="AR92" s="15" t="s">
        <v>109</v>
      </c>
      <c r="AS92" s="15" t="s">
        <v>222</v>
      </c>
      <c r="AT92" s="15" t="s">
        <v>223</v>
      </c>
    </row>
    <row r="93">
      <c r="A93" s="14">
        <v>45068.69192952546</v>
      </c>
      <c r="B93" s="15" t="s">
        <v>53</v>
      </c>
      <c r="C93" s="15" t="s">
        <v>53</v>
      </c>
      <c r="D93" s="15" t="s">
        <v>54</v>
      </c>
      <c r="T93" s="22">
        <v>3.0</v>
      </c>
      <c r="W93" s="15" t="s">
        <v>66</v>
      </c>
      <c r="X93" s="15" t="s">
        <v>53</v>
      </c>
      <c r="Y93" s="15">
        <v>3.0</v>
      </c>
      <c r="Z93" s="15">
        <v>2.0</v>
      </c>
      <c r="AA93" s="15">
        <v>3.0</v>
      </c>
      <c r="AB93" s="15">
        <v>4.0</v>
      </c>
      <c r="AC93" s="15">
        <v>3.0</v>
      </c>
      <c r="AD93" s="15">
        <v>4.0</v>
      </c>
      <c r="AE93" s="15">
        <v>2.0</v>
      </c>
      <c r="AF93" s="15">
        <v>3.0</v>
      </c>
      <c r="AG93" s="15">
        <v>4.0</v>
      </c>
      <c r="AH93" s="15">
        <v>3.0</v>
      </c>
      <c r="AI93" s="15">
        <v>3.0</v>
      </c>
      <c r="AJ93" s="15" t="s">
        <v>55</v>
      </c>
      <c r="AK93" s="15" t="s">
        <v>56</v>
      </c>
      <c r="AL93" s="15" t="s">
        <v>83</v>
      </c>
      <c r="AM93" s="15">
        <v>3.0</v>
      </c>
      <c r="AN93" s="15" t="s">
        <v>72</v>
      </c>
      <c r="AO93" s="15">
        <v>20.0</v>
      </c>
      <c r="AP93" s="15" t="s">
        <v>67</v>
      </c>
      <c r="AQ93" s="15" t="s">
        <v>68</v>
      </c>
      <c r="AR93" s="15" t="s">
        <v>61</v>
      </c>
      <c r="AS93" s="15" t="s">
        <v>78</v>
      </c>
      <c r="AT93" s="15" t="s">
        <v>224</v>
      </c>
    </row>
    <row r="94">
      <c r="A94" s="14">
        <v>45068.69395486111</v>
      </c>
      <c r="B94" s="15" t="s">
        <v>53</v>
      </c>
      <c r="C94" s="15" t="s">
        <v>53</v>
      </c>
      <c r="D94" s="15" t="s">
        <v>54</v>
      </c>
      <c r="T94" s="22">
        <v>4.0</v>
      </c>
      <c r="W94" s="15" t="s">
        <v>73</v>
      </c>
      <c r="X94" s="15" t="s">
        <v>97</v>
      </c>
      <c r="Y94" s="15">
        <v>5.0</v>
      </c>
      <c r="Z94" s="15">
        <v>1.0</v>
      </c>
      <c r="AA94" s="15">
        <v>1.0</v>
      </c>
      <c r="AB94" s="15">
        <v>4.0</v>
      </c>
      <c r="AC94" s="15">
        <v>4.0</v>
      </c>
      <c r="AD94" s="15">
        <v>5.0</v>
      </c>
      <c r="AE94" s="15">
        <v>1.0</v>
      </c>
      <c r="AF94" s="15">
        <v>3.0</v>
      </c>
      <c r="AG94" s="15">
        <v>4.0</v>
      </c>
      <c r="AH94" s="15">
        <v>3.0</v>
      </c>
      <c r="AI94" s="15">
        <v>3.0</v>
      </c>
      <c r="AJ94" s="15" t="s">
        <v>55</v>
      </c>
      <c r="AK94" s="15" t="s">
        <v>83</v>
      </c>
      <c r="AL94" s="15" t="s">
        <v>64</v>
      </c>
      <c r="AM94" s="15">
        <v>4.0</v>
      </c>
      <c r="AN94" s="15" t="s">
        <v>65</v>
      </c>
      <c r="AO94" s="15">
        <v>50.0</v>
      </c>
      <c r="AP94" s="15" t="s">
        <v>67</v>
      </c>
      <c r="AQ94" s="15" t="s">
        <v>98</v>
      </c>
      <c r="AR94" s="15" t="s">
        <v>61</v>
      </c>
      <c r="AS94" s="15" t="s">
        <v>225</v>
      </c>
      <c r="AT94" s="15" t="s">
        <v>226</v>
      </c>
    </row>
    <row r="95">
      <c r="A95" s="14">
        <v>45068.694034050925</v>
      </c>
      <c r="B95" s="15" t="s">
        <v>53</v>
      </c>
      <c r="C95" s="15" t="s">
        <v>53</v>
      </c>
      <c r="D95" s="15">
        <v>-5.0</v>
      </c>
      <c r="E95" s="15" t="s">
        <v>97</v>
      </c>
      <c r="F95" s="15">
        <v>5.0</v>
      </c>
      <c r="G95" s="15">
        <v>1.0</v>
      </c>
      <c r="H95" s="15">
        <v>1.0</v>
      </c>
      <c r="I95" s="15">
        <v>3.0</v>
      </c>
      <c r="J95" s="15">
        <v>3.0</v>
      </c>
      <c r="K95" s="15">
        <v>2.0</v>
      </c>
      <c r="L95" s="15">
        <v>1.0</v>
      </c>
      <c r="M95" s="15">
        <v>1.0</v>
      </c>
      <c r="N95" s="15">
        <v>1.0</v>
      </c>
      <c r="O95" s="15">
        <v>1.0</v>
      </c>
      <c r="P95" s="15">
        <v>1.0</v>
      </c>
      <c r="Q95" s="15" t="s">
        <v>92</v>
      </c>
      <c r="R95" s="15" t="s">
        <v>57</v>
      </c>
      <c r="S95" s="15" t="s">
        <v>83</v>
      </c>
      <c r="T95" s="15">
        <v>5.0</v>
      </c>
      <c r="U95" s="15">
        <v>-5.0</v>
      </c>
      <c r="V95" s="15" t="s">
        <v>58</v>
      </c>
      <c r="AO95" s="15">
        <v>22.0</v>
      </c>
      <c r="AP95" s="15" t="s">
        <v>67</v>
      </c>
      <c r="AQ95" s="15" t="s">
        <v>60</v>
      </c>
      <c r="AR95" s="15" t="s">
        <v>61</v>
      </c>
      <c r="AS95" s="15" t="s">
        <v>99</v>
      </c>
      <c r="AT95" s="15" t="s">
        <v>227</v>
      </c>
    </row>
    <row r="96">
      <c r="A96" s="14">
        <v>45068.69544738426</v>
      </c>
      <c r="B96" s="15" t="s">
        <v>53</v>
      </c>
      <c r="C96" s="15" t="s">
        <v>53</v>
      </c>
      <c r="D96" s="15" t="s">
        <v>85</v>
      </c>
      <c r="T96" s="22">
        <v>4.0</v>
      </c>
      <c r="W96" s="15" t="s">
        <v>77</v>
      </c>
      <c r="X96" s="15" t="s">
        <v>53</v>
      </c>
      <c r="Y96" s="15">
        <v>5.0</v>
      </c>
      <c r="Z96" s="15">
        <v>1.0</v>
      </c>
      <c r="AA96" s="15">
        <v>1.0</v>
      </c>
      <c r="AB96" s="15">
        <v>3.0</v>
      </c>
      <c r="AC96" s="15">
        <v>5.0</v>
      </c>
      <c r="AD96" s="15">
        <v>5.0</v>
      </c>
      <c r="AE96" s="15">
        <v>3.0</v>
      </c>
      <c r="AF96" s="15">
        <v>4.0</v>
      </c>
      <c r="AG96" s="15">
        <v>1.0</v>
      </c>
      <c r="AH96" s="15">
        <v>1.0</v>
      </c>
      <c r="AI96" s="15">
        <v>1.0</v>
      </c>
      <c r="AJ96" s="15" t="s">
        <v>64</v>
      </c>
      <c r="AK96" s="15" t="s">
        <v>56</v>
      </c>
      <c r="AL96" s="15" t="s">
        <v>57</v>
      </c>
      <c r="AM96" s="15">
        <v>4.0</v>
      </c>
      <c r="AN96" s="15" t="s">
        <v>85</v>
      </c>
      <c r="AO96" s="15">
        <v>39.0</v>
      </c>
      <c r="AP96" s="15" t="s">
        <v>67</v>
      </c>
      <c r="AQ96" s="15" t="s">
        <v>60</v>
      </c>
      <c r="AR96" s="15" t="s">
        <v>140</v>
      </c>
      <c r="AS96" s="15" t="s">
        <v>105</v>
      </c>
      <c r="AT96" s="15" t="s">
        <v>228</v>
      </c>
      <c r="AU96" s="15" t="s">
        <v>229</v>
      </c>
    </row>
    <row r="97">
      <c r="A97" s="14">
        <v>45068.69588153935</v>
      </c>
      <c r="B97" s="15" t="s">
        <v>53</v>
      </c>
      <c r="C97" s="15" t="s">
        <v>53</v>
      </c>
      <c r="D97" s="15" t="s">
        <v>85</v>
      </c>
      <c r="T97" s="22">
        <v>4.0</v>
      </c>
      <c r="V97" s="15" t="s">
        <v>80</v>
      </c>
      <c r="X97" s="15" t="s">
        <v>53</v>
      </c>
      <c r="Y97" s="15">
        <v>4.0</v>
      </c>
      <c r="Z97" s="15">
        <v>2.0</v>
      </c>
      <c r="AA97" s="15">
        <v>2.0</v>
      </c>
      <c r="AB97" s="15">
        <v>4.0</v>
      </c>
      <c r="AC97" s="15">
        <v>4.0</v>
      </c>
      <c r="AD97" s="15">
        <v>4.0</v>
      </c>
      <c r="AE97" s="15">
        <v>1.0</v>
      </c>
      <c r="AF97" s="15">
        <v>4.0</v>
      </c>
      <c r="AG97" s="15">
        <v>4.0</v>
      </c>
      <c r="AH97" s="15">
        <v>5.0</v>
      </c>
      <c r="AI97" s="15">
        <v>4.0</v>
      </c>
      <c r="AJ97" s="15" t="s">
        <v>55</v>
      </c>
      <c r="AK97" s="15" t="s">
        <v>64</v>
      </c>
      <c r="AL97" s="15" t="s">
        <v>57</v>
      </c>
      <c r="AM97" s="15">
        <v>4.0</v>
      </c>
      <c r="AN97" s="15">
        <v>-4.0</v>
      </c>
      <c r="AO97" s="15">
        <v>19.0</v>
      </c>
      <c r="AP97" s="15" t="s">
        <v>67</v>
      </c>
      <c r="AQ97" s="15" t="s">
        <v>68</v>
      </c>
      <c r="AR97" s="15" t="s">
        <v>61</v>
      </c>
      <c r="AS97" s="15" t="s">
        <v>78</v>
      </c>
      <c r="AT97" s="15" t="s">
        <v>230</v>
      </c>
    </row>
    <row r="98">
      <c r="A98" s="14">
        <v>45068.69638461806</v>
      </c>
      <c r="B98" s="15" t="s">
        <v>53</v>
      </c>
      <c r="C98" s="15" t="s">
        <v>53</v>
      </c>
      <c r="D98" s="15" t="s">
        <v>54</v>
      </c>
      <c r="T98" s="22">
        <v>5.0</v>
      </c>
      <c r="W98" s="15" t="s">
        <v>66</v>
      </c>
      <c r="X98" s="15" t="s">
        <v>53</v>
      </c>
      <c r="Y98" s="15">
        <v>4.0</v>
      </c>
      <c r="Z98" s="15">
        <v>4.0</v>
      </c>
      <c r="AA98" s="15">
        <v>2.0</v>
      </c>
      <c r="AB98" s="15">
        <v>4.0</v>
      </c>
      <c r="AC98" s="15">
        <v>4.0</v>
      </c>
      <c r="AD98" s="15">
        <v>2.0</v>
      </c>
      <c r="AE98" s="15">
        <v>2.0</v>
      </c>
      <c r="AF98" s="15">
        <v>4.0</v>
      </c>
      <c r="AG98" s="15">
        <v>3.0</v>
      </c>
      <c r="AH98" s="15">
        <v>3.0</v>
      </c>
      <c r="AI98" s="15">
        <v>2.0</v>
      </c>
      <c r="AJ98" s="15" t="s">
        <v>55</v>
      </c>
      <c r="AK98" s="15" t="s">
        <v>57</v>
      </c>
      <c r="AL98" s="15" t="s">
        <v>83</v>
      </c>
      <c r="AM98" s="15">
        <v>5.0</v>
      </c>
      <c r="AN98" s="15" t="s">
        <v>54</v>
      </c>
      <c r="AO98" s="15">
        <v>21.0</v>
      </c>
      <c r="AP98" s="15" t="s">
        <v>59</v>
      </c>
      <c r="AQ98" s="15" t="s">
        <v>60</v>
      </c>
      <c r="AR98" s="15" t="s">
        <v>61</v>
      </c>
      <c r="AS98" s="15" t="s">
        <v>74</v>
      </c>
      <c r="AT98" s="15" t="s">
        <v>231</v>
      </c>
      <c r="AU98" s="15" t="s">
        <v>232</v>
      </c>
    </row>
    <row r="99">
      <c r="A99" s="14">
        <v>45068.70020177083</v>
      </c>
      <c r="B99" s="15" t="s">
        <v>53</v>
      </c>
      <c r="C99" s="15" t="s">
        <v>53</v>
      </c>
      <c r="D99" s="15" t="s">
        <v>54</v>
      </c>
      <c r="T99" s="22">
        <v>4.0</v>
      </c>
      <c r="W99" s="15" t="s">
        <v>66</v>
      </c>
      <c r="X99" s="15" t="s">
        <v>97</v>
      </c>
      <c r="Y99" s="15">
        <v>1.0</v>
      </c>
      <c r="Z99" s="15">
        <v>4.0</v>
      </c>
      <c r="AA99" s="15">
        <v>5.0</v>
      </c>
      <c r="AB99" s="15">
        <v>5.0</v>
      </c>
      <c r="AC99" s="15">
        <v>1.0</v>
      </c>
      <c r="AD99" s="15">
        <v>2.0</v>
      </c>
      <c r="AE99" s="15">
        <v>3.0</v>
      </c>
      <c r="AF99" s="15">
        <v>4.0</v>
      </c>
      <c r="AG99" s="15">
        <v>3.0</v>
      </c>
      <c r="AH99" s="15">
        <v>2.0</v>
      </c>
      <c r="AI99" s="15">
        <v>2.0</v>
      </c>
      <c r="AJ99" s="15" t="s">
        <v>55</v>
      </c>
      <c r="AK99" s="15" t="s">
        <v>64</v>
      </c>
      <c r="AL99" s="15" t="s">
        <v>56</v>
      </c>
      <c r="AM99" s="15">
        <v>4.0</v>
      </c>
      <c r="AN99" s="15" t="s">
        <v>72</v>
      </c>
      <c r="AO99" s="15">
        <v>21.0</v>
      </c>
      <c r="AP99" s="15" t="s">
        <v>59</v>
      </c>
      <c r="AQ99" s="15" t="s">
        <v>98</v>
      </c>
      <c r="AR99" s="15" t="s">
        <v>61</v>
      </c>
      <c r="AS99" s="15" t="s">
        <v>93</v>
      </c>
      <c r="AT99" s="15" t="s">
        <v>233</v>
      </c>
    </row>
    <row r="100">
      <c r="A100" s="14">
        <v>45068.70244734954</v>
      </c>
      <c r="B100" s="15" t="s">
        <v>53</v>
      </c>
      <c r="C100" s="15" t="s">
        <v>53</v>
      </c>
      <c r="D100" s="15" t="s">
        <v>72</v>
      </c>
      <c r="T100" s="22">
        <v>5.0</v>
      </c>
      <c r="W100" s="15" t="s">
        <v>113</v>
      </c>
      <c r="X100" s="15" t="s">
        <v>53</v>
      </c>
      <c r="Y100" s="15">
        <v>5.0</v>
      </c>
      <c r="Z100" s="15">
        <v>1.0</v>
      </c>
      <c r="AA100" s="15">
        <v>1.0</v>
      </c>
      <c r="AB100" s="15">
        <v>3.0</v>
      </c>
      <c r="AC100" s="15">
        <v>4.0</v>
      </c>
      <c r="AD100" s="15">
        <v>3.0</v>
      </c>
      <c r="AE100" s="15">
        <v>1.0</v>
      </c>
      <c r="AF100" s="15">
        <v>3.0</v>
      </c>
      <c r="AG100" s="15">
        <v>3.0</v>
      </c>
      <c r="AH100" s="15">
        <v>3.0</v>
      </c>
      <c r="AI100" s="15">
        <v>3.0</v>
      </c>
      <c r="AJ100" s="15" t="s">
        <v>55</v>
      </c>
      <c r="AK100" s="15" t="s">
        <v>92</v>
      </c>
      <c r="AL100" s="15" t="s">
        <v>64</v>
      </c>
      <c r="AM100" s="15">
        <v>5.0</v>
      </c>
      <c r="AN100" s="15" t="s">
        <v>72</v>
      </c>
      <c r="AO100" s="15">
        <v>42.0</v>
      </c>
      <c r="AP100" s="15" t="s">
        <v>59</v>
      </c>
      <c r="AQ100" s="15" t="s">
        <v>120</v>
      </c>
      <c r="AR100" s="15" t="s">
        <v>61</v>
      </c>
      <c r="AS100" s="15" t="s">
        <v>93</v>
      </c>
      <c r="AT100" s="15" t="s">
        <v>234</v>
      </c>
    </row>
    <row r="101">
      <c r="A101" s="14">
        <v>45068.70411637731</v>
      </c>
      <c r="B101" s="15" t="s">
        <v>53</v>
      </c>
      <c r="C101" s="15" t="s">
        <v>53</v>
      </c>
      <c r="D101" s="15" t="s">
        <v>72</v>
      </c>
      <c r="T101" s="22">
        <v>2.0</v>
      </c>
      <c r="V101" s="15" t="s">
        <v>58</v>
      </c>
      <c r="X101" s="15" t="s">
        <v>53</v>
      </c>
      <c r="Y101" s="15">
        <v>3.0</v>
      </c>
      <c r="Z101" s="15">
        <v>3.0</v>
      </c>
      <c r="AA101" s="15">
        <v>1.0</v>
      </c>
      <c r="AB101" s="15">
        <v>3.0</v>
      </c>
      <c r="AC101" s="15">
        <v>3.0</v>
      </c>
      <c r="AD101" s="15">
        <v>1.0</v>
      </c>
      <c r="AE101" s="15">
        <v>3.0</v>
      </c>
      <c r="AF101" s="15">
        <v>3.0</v>
      </c>
      <c r="AG101" s="15">
        <v>2.0</v>
      </c>
      <c r="AH101" s="15">
        <v>2.0</v>
      </c>
      <c r="AI101" s="15">
        <v>2.0</v>
      </c>
      <c r="AJ101" s="15" t="s">
        <v>55</v>
      </c>
      <c r="AK101" s="15" t="s">
        <v>64</v>
      </c>
      <c r="AL101" s="15" t="s">
        <v>92</v>
      </c>
      <c r="AM101" s="15">
        <v>2.0</v>
      </c>
      <c r="AN101" s="15">
        <v>-2.0</v>
      </c>
      <c r="AO101" s="15">
        <v>32.0</v>
      </c>
      <c r="AP101" s="15" t="s">
        <v>67</v>
      </c>
      <c r="AQ101" s="15" t="s">
        <v>60</v>
      </c>
      <c r="AR101" s="15" t="s">
        <v>61</v>
      </c>
      <c r="AS101" s="15" t="s">
        <v>69</v>
      </c>
      <c r="AT101" s="15" t="s">
        <v>235</v>
      </c>
    </row>
    <row r="102">
      <c r="A102" s="14">
        <v>45068.70456246528</v>
      </c>
      <c r="B102" s="15" t="s">
        <v>53</v>
      </c>
      <c r="C102" s="15" t="s">
        <v>53</v>
      </c>
      <c r="D102" s="15" t="s">
        <v>85</v>
      </c>
      <c r="T102" s="22">
        <v>2.0</v>
      </c>
      <c r="W102" s="15" t="s">
        <v>113</v>
      </c>
      <c r="X102" s="15" t="s">
        <v>53</v>
      </c>
      <c r="Y102" s="15">
        <v>4.0</v>
      </c>
      <c r="Z102" s="15">
        <v>2.0</v>
      </c>
      <c r="AA102" s="15">
        <v>2.0</v>
      </c>
      <c r="AB102" s="15">
        <v>4.0</v>
      </c>
      <c r="AC102" s="15">
        <v>3.0</v>
      </c>
      <c r="AD102" s="15">
        <v>3.0</v>
      </c>
      <c r="AE102" s="15">
        <v>3.0</v>
      </c>
      <c r="AF102" s="15">
        <v>2.0</v>
      </c>
      <c r="AG102" s="15">
        <v>2.0</v>
      </c>
      <c r="AH102" s="15">
        <v>2.0</v>
      </c>
      <c r="AI102" s="15">
        <v>2.0</v>
      </c>
      <c r="AJ102" s="15" t="s">
        <v>56</v>
      </c>
      <c r="AK102" s="15" t="s">
        <v>64</v>
      </c>
      <c r="AL102" s="15" t="s">
        <v>64</v>
      </c>
      <c r="AM102" s="15">
        <v>2.0</v>
      </c>
      <c r="AN102" s="15" t="s">
        <v>54</v>
      </c>
      <c r="AO102" s="15">
        <v>39.0</v>
      </c>
      <c r="AP102" s="15" t="s">
        <v>67</v>
      </c>
      <c r="AQ102" s="15" t="s">
        <v>68</v>
      </c>
      <c r="AR102" s="15" t="s">
        <v>140</v>
      </c>
      <c r="AS102" s="15" t="s">
        <v>105</v>
      </c>
      <c r="AT102" s="15" t="s">
        <v>236</v>
      </c>
    </row>
    <row r="103">
      <c r="A103" s="14">
        <v>45068.71058532408</v>
      </c>
      <c r="B103" s="15" t="s">
        <v>53</v>
      </c>
      <c r="C103" s="15" t="s">
        <v>97</v>
      </c>
      <c r="D103" s="15">
        <v>-1.0</v>
      </c>
      <c r="E103" s="15" t="s">
        <v>97</v>
      </c>
      <c r="F103" s="15">
        <v>3.0</v>
      </c>
      <c r="G103" s="15">
        <v>3.0</v>
      </c>
      <c r="H103" s="15">
        <v>3.0</v>
      </c>
      <c r="I103" s="15">
        <v>3.0</v>
      </c>
      <c r="J103" s="15">
        <v>2.0</v>
      </c>
      <c r="K103" s="15">
        <v>3.0</v>
      </c>
      <c r="L103" s="15">
        <v>3.0</v>
      </c>
      <c r="M103" s="15">
        <v>2.0</v>
      </c>
      <c r="N103" s="15">
        <v>2.0</v>
      </c>
      <c r="O103" s="15">
        <v>2.0</v>
      </c>
      <c r="P103" s="15">
        <v>2.0</v>
      </c>
      <c r="Q103" s="15" t="s">
        <v>101</v>
      </c>
      <c r="R103" s="15" t="s">
        <v>101</v>
      </c>
      <c r="S103" s="15" t="s">
        <v>101</v>
      </c>
      <c r="T103" s="81">
        <v>4.0</v>
      </c>
      <c r="U103" s="15">
        <v>-1.0</v>
      </c>
      <c r="V103" s="15" t="s">
        <v>102</v>
      </c>
      <c r="AO103" s="15">
        <v>34.0</v>
      </c>
      <c r="AP103" s="15" t="s">
        <v>67</v>
      </c>
      <c r="AQ103" s="15" t="s">
        <v>60</v>
      </c>
      <c r="AR103" s="15" t="s">
        <v>109</v>
      </c>
      <c r="AS103" s="15" t="s">
        <v>93</v>
      </c>
      <c r="AT103" s="15" t="s">
        <v>237</v>
      </c>
    </row>
    <row r="104">
      <c r="A104" s="14">
        <v>45068.713938518515</v>
      </c>
      <c r="B104" s="15" t="s">
        <v>53</v>
      </c>
      <c r="C104" s="15" t="s">
        <v>53</v>
      </c>
      <c r="D104" s="15" t="s">
        <v>72</v>
      </c>
      <c r="T104" s="22">
        <v>2.0</v>
      </c>
      <c r="W104" s="15" t="s">
        <v>238</v>
      </c>
      <c r="X104" s="15" t="s">
        <v>53</v>
      </c>
      <c r="Y104" s="15">
        <v>5.0</v>
      </c>
      <c r="Z104" s="15">
        <v>1.0</v>
      </c>
      <c r="AA104" s="15">
        <v>1.0</v>
      </c>
      <c r="AB104" s="15">
        <v>5.0</v>
      </c>
      <c r="AC104" s="15">
        <v>3.0</v>
      </c>
      <c r="AD104" s="15">
        <v>3.0</v>
      </c>
      <c r="AE104" s="15">
        <v>1.0</v>
      </c>
      <c r="AF104" s="15">
        <v>1.0</v>
      </c>
      <c r="AG104" s="15">
        <v>1.0</v>
      </c>
      <c r="AH104" s="15">
        <v>1.0</v>
      </c>
      <c r="AI104" s="15">
        <v>1.0</v>
      </c>
      <c r="AJ104" s="15" t="s">
        <v>64</v>
      </c>
      <c r="AK104" s="15" t="s">
        <v>55</v>
      </c>
      <c r="AL104" s="15" t="s">
        <v>92</v>
      </c>
      <c r="AM104" s="15">
        <v>2.0</v>
      </c>
      <c r="AN104" s="15" t="s">
        <v>72</v>
      </c>
      <c r="AO104" s="15">
        <v>28.0</v>
      </c>
      <c r="AP104" s="15" t="s">
        <v>59</v>
      </c>
      <c r="AQ104" s="15" t="s">
        <v>239</v>
      </c>
      <c r="AR104" s="15" t="s">
        <v>140</v>
      </c>
      <c r="AS104" s="15" t="s">
        <v>93</v>
      </c>
      <c r="AT104" s="15" t="s">
        <v>240</v>
      </c>
    </row>
    <row r="105">
      <c r="A105" s="14">
        <v>45068.71428364584</v>
      </c>
      <c r="B105" s="15" t="s">
        <v>53</v>
      </c>
      <c r="C105" s="15" t="s">
        <v>53</v>
      </c>
      <c r="D105" s="15" t="s">
        <v>65</v>
      </c>
      <c r="T105" s="22">
        <v>4.0</v>
      </c>
      <c r="V105" s="15" t="s">
        <v>66</v>
      </c>
      <c r="X105" s="15" t="s">
        <v>53</v>
      </c>
      <c r="Y105" s="15">
        <v>2.0</v>
      </c>
      <c r="Z105" s="15">
        <v>3.0</v>
      </c>
      <c r="AA105" s="15">
        <v>4.0</v>
      </c>
      <c r="AB105" s="15">
        <v>5.0</v>
      </c>
      <c r="AC105" s="15">
        <v>2.0</v>
      </c>
      <c r="AD105" s="15">
        <v>4.0</v>
      </c>
      <c r="AE105" s="15">
        <v>2.0</v>
      </c>
      <c r="AF105" s="15">
        <v>3.0</v>
      </c>
      <c r="AG105" s="15">
        <v>4.0</v>
      </c>
      <c r="AH105" s="15">
        <v>4.0</v>
      </c>
      <c r="AI105" s="15">
        <v>3.0</v>
      </c>
      <c r="AJ105" s="15" t="s">
        <v>55</v>
      </c>
      <c r="AK105" s="15" t="s">
        <v>57</v>
      </c>
      <c r="AL105" s="15" t="s">
        <v>64</v>
      </c>
      <c r="AM105" s="15">
        <v>4.0</v>
      </c>
      <c r="AN105" s="15">
        <v>-2.0</v>
      </c>
      <c r="AO105" s="15">
        <v>22.0</v>
      </c>
      <c r="AP105" s="15" t="s">
        <v>67</v>
      </c>
      <c r="AQ105" s="15" t="s">
        <v>120</v>
      </c>
      <c r="AR105" s="15" t="s">
        <v>61</v>
      </c>
      <c r="AS105" s="15" t="s">
        <v>78</v>
      </c>
      <c r="AT105" s="15" t="s">
        <v>241</v>
      </c>
    </row>
    <row r="106">
      <c r="A106" s="14">
        <v>45068.71504144676</v>
      </c>
      <c r="B106" s="15" t="s">
        <v>53</v>
      </c>
      <c r="C106" s="15" t="s">
        <v>53</v>
      </c>
      <c r="D106" s="15" t="s">
        <v>72</v>
      </c>
      <c r="T106" s="22">
        <v>1.0</v>
      </c>
      <c r="W106" s="15" t="s">
        <v>73</v>
      </c>
      <c r="X106" s="15" t="s">
        <v>53</v>
      </c>
      <c r="Y106" s="15">
        <v>3.0</v>
      </c>
      <c r="Z106" s="15">
        <v>2.0</v>
      </c>
      <c r="AA106" s="15">
        <v>2.0</v>
      </c>
      <c r="AB106" s="15">
        <v>3.0</v>
      </c>
      <c r="AC106" s="15">
        <v>3.0</v>
      </c>
      <c r="AD106" s="15">
        <v>2.0</v>
      </c>
      <c r="AE106" s="15">
        <v>3.0</v>
      </c>
      <c r="AF106" s="15">
        <v>2.0</v>
      </c>
      <c r="AG106" s="15">
        <v>2.0</v>
      </c>
      <c r="AH106" s="15">
        <v>2.0</v>
      </c>
      <c r="AI106" s="15">
        <v>2.0</v>
      </c>
      <c r="AJ106" s="15" t="s">
        <v>64</v>
      </c>
      <c r="AK106" s="15" t="s">
        <v>55</v>
      </c>
      <c r="AL106" s="15" t="s">
        <v>86</v>
      </c>
      <c r="AM106" s="15">
        <v>1.0</v>
      </c>
      <c r="AN106" s="15" t="s">
        <v>72</v>
      </c>
      <c r="AO106" s="15">
        <v>21.0</v>
      </c>
      <c r="AP106" s="15" t="s">
        <v>67</v>
      </c>
      <c r="AQ106" s="15" t="s">
        <v>60</v>
      </c>
      <c r="AR106" s="15" t="s">
        <v>61</v>
      </c>
      <c r="AS106" s="15" t="s">
        <v>62</v>
      </c>
      <c r="AT106" s="15" t="s">
        <v>242</v>
      </c>
    </row>
    <row r="107">
      <c r="A107" s="14">
        <v>45068.7268234375</v>
      </c>
      <c r="B107" s="15" t="s">
        <v>53</v>
      </c>
      <c r="C107" s="15" t="s">
        <v>53</v>
      </c>
      <c r="D107" s="15" t="s">
        <v>104</v>
      </c>
      <c r="T107" s="22">
        <v>4.0</v>
      </c>
      <c r="W107" s="15" t="s">
        <v>77</v>
      </c>
      <c r="X107" s="15" t="s">
        <v>53</v>
      </c>
      <c r="Y107" s="15">
        <v>3.0</v>
      </c>
      <c r="Z107" s="15">
        <v>4.0</v>
      </c>
      <c r="AA107" s="15">
        <v>4.0</v>
      </c>
      <c r="AB107" s="15">
        <v>4.0</v>
      </c>
      <c r="AC107" s="15">
        <v>3.0</v>
      </c>
      <c r="AD107" s="15">
        <v>4.0</v>
      </c>
      <c r="AE107" s="15">
        <v>2.0</v>
      </c>
      <c r="AF107" s="15">
        <v>4.0</v>
      </c>
      <c r="AG107" s="15">
        <v>4.0</v>
      </c>
      <c r="AH107" s="15">
        <v>4.0</v>
      </c>
      <c r="AI107" s="15">
        <v>4.0</v>
      </c>
      <c r="AJ107" s="15" t="s">
        <v>55</v>
      </c>
      <c r="AK107" s="15" t="s">
        <v>56</v>
      </c>
      <c r="AL107" s="15" t="s">
        <v>64</v>
      </c>
      <c r="AM107" s="15">
        <v>4.0</v>
      </c>
      <c r="AN107" s="15" t="s">
        <v>85</v>
      </c>
      <c r="AO107" s="15">
        <v>22.0</v>
      </c>
      <c r="AP107" s="15" t="s">
        <v>67</v>
      </c>
      <c r="AQ107" s="15" t="s">
        <v>60</v>
      </c>
      <c r="AR107" s="15" t="s">
        <v>61</v>
      </c>
      <c r="AS107" s="15" t="s">
        <v>78</v>
      </c>
      <c r="AT107" s="15" t="s">
        <v>243</v>
      </c>
    </row>
    <row r="108">
      <c r="A108" s="14">
        <v>45068.727045810185</v>
      </c>
      <c r="B108" s="15" t="s">
        <v>53</v>
      </c>
      <c r="C108" s="15" t="s">
        <v>53</v>
      </c>
      <c r="D108" s="15" t="s">
        <v>54</v>
      </c>
      <c r="T108" s="22">
        <v>4.0</v>
      </c>
      <c r="W108" s="15" t="s">
        <v>77</v>
      </c>
      <c r="X108" s="15" t="s">
        <v>53</v>
      </c>
      <c r="Y108" s="15">
        <v>3.0</v>
      </c>
      <c r="Z108" s="15">
        <v>3.0</v>
      </c>
      <c r="AA108" s="15">
        <v>3.0</v>
      </c>
      <c r="AB108" s="15">
        <v>4.0</v>
      </c>
      <c r="AC108" s="15">
        <v>3.0</v>
      </c>
      <c r="AD108" s="15">
        <v>5.0</v>
      </c>
      <c r="AE108" s="15">
        <v>1.0</v>
      </c>
      <c r="AF108" s="15">
        <v>5.0</v>
      </c>
      <c r="AG108" s="15">
        <v>5.0</v>
      </c>
      <c r="AH108" s="15">
        <v>5.0</v>
      </c>
      <c r="AI108" s="15">
        <v>5.0</v>
      </c>
      <c r="AJ108" s="15" t="s">
        <v>55</v>
      </c>
      <c r="AK108" s="15" t="s">
        <v>83</v>
      </c>
      <c r="AL108" s="15" t="s">
        <v>92</v>
      </c>
      <c r="AM108" s="15">
        <v>4.0</v>
      </c>
      <c r="AN108" s="15" t="s">
        <v>54</v>
      </c>
      <c r="AO108" s="15">
        <v>20.0</v>
      </c>
      <c r="AP108" s="15" t="s">
        <v>67</v>
      </c>
      <c r="AQ108" s="15" t="s">
        <v>60</v>
      </c>
      <c r="AR108" s="15" t="s">
        <v>61</v>
      </c>
      <c r="AS108" s="15" t="s">
        <v>78</v>
      </c>
      <c r="AT108" s="15" t="s">
        <v>244</v>
      </c>
    </row>
    <row r="109">
      <c r="A109" s="14">
        <v>45068.727360624995</v>
      </c>
      <c r="B109" s="15" t="s">
        <v>53</v>
      </c>
      <c r="C109" s="15" t="s">
        <v>53</v>
      </c>
      <c r="D109" s="15" t="s">
        <v>72</v>
      </c>
      <c r="T109" s="22">
        <v>4.0</v>
      </c>
      <c r="W109" s="15" t="s">
        <v>77</v>
      </c>
      <c r="X109" s="15" t="s">
        <v>53</v>
      </c>
      <c r="Y109" s="15">
        <v>4.0</v>
      </c>
      <c r="Z109" s="15">
        <v>2.0</v>
      </c>
      <c r="AA109" s="15">
        <v>2.0</v>
      </c>
      <c r="AB109" s="15">
        <v>4.0</v>
      </c>
      <c r="AC109" s="15">
        <v>4.0</v>
      </c>
      <c r="AD109" s="15">
        <v>2.0</v>
      </c>
      <c r="AE109" s="15">
        <v>4.0</v>
      </c>
      <c r="AF109" s="15">
        <v>2.0</v>
      </c>
      <c r="AG109" s="15">
        <v>2.0</v>
      </c>
      <c r="AH109" s="15">
        <v>2.0</v>
      </c>
      <c r="AI109" s="15">
        <v>2.0</v>
      </c>
      <c r="AJ109" s="15" t="s">
        <v>55</v>
      </c>
      <c r="AK109" s="15" t="s">
        <v>56</v>
      </c>
      <c r="AL109" s="15" t="s">
        <v>64</v>
      </c>
      <c r="AM109" s="15">
        <v>4.0</v>
      </c>
      <c r="AN109" s="15" t="s">
        <v>65</v>
      </c>
      <c r="AO109" s="15">
        <v>50.0</v>
      </c>
      <c r="AP109" s="15" t="s">
        <v>67</v>
      </c>
      <c r="AQ109" s="15" t="s">
        <v>60</v>
      </c>
      <c r="AR109" s="15" t="s">
        <v>140</v>
      </c>
      <c r="AS109" s="15" t="s">
        <v>105</v>
      </c>
      <c r="AT109" s="15" t="s">
        <v>245</v>
      </c>
    </row>
    <row r="110">
      <c r="A110" s="14">
        <v>45068.73766653935</v>
      </c>
      <c r="B110" s="15" t="s">
        <v>53</v>
      </c>
      <c r="C110" s="15" t="s">
        <v>53</v>
      </c>
      <c r="D110" s="15">
        <v>-4.0</v>
      </c>
      <c r="E110" s="15" t="s">
        <v>53</v>
      </c>
      <c r="F110" s="15">
        <v>3.0</v>
      </c>
      <c r="G110" s="15">
        <v>3.0</v>
      </c>
      <c r="H110" s="15">
        <v>1.0</v>
      </c>
      <c r="I110" s="15">
        <v>3.0</v>
      </c>
      <c r="J110" s="15">
        <v>2.0</v>
      </c>
      <c r="K110" s="15">
        <v>4.0</v>
      </c>
      <c r="L110" s="15">
        <v>2.0</v>
      </c>
      <c r="M110" s="15">
        <v>3.0</v>
      </c>
      <c r="N110" s="15">
        <v>2.0</v>
      </c>
      <c r="O110" s="15">
        <v>2.0</v>
      </c>
      <c r="P110" s="15">
        <v>2.0</v>
      </c>
      <c r="Q110" s="15" t="s">
        <v>55</v>
      </c>
      <c r="R110" s="15" t="s">
        <v>56</v>
      </c>
      <c r="S110" s="15" t="s">
        <v>86</v>
      </c>
      <c r="T110" s="15">
        <v>3.0</v>
      </c>
      <c r="U110" s="15" t="s">
        <v>65</v>
      </c>
      <c r="W110" s="15" t="s">
        <v>77</v>
      </c>
      <c r="AO110" s="15">
        <v>21.0</v>
      </c>
      <c r="AP110" s="15" t="s">
        <v>59</v>
      </c>
      <c r="AQ110" s="15" t="s">
        <v>120</v>
      </c>
      <c r="AR110" s="15" t="s">
        <v>61</v>
      </c>
      <c r="AS110" s="15" t="s">
        <v>125</v>
      </c>
      <c r="AT110" s="15" t="s">
        <v>246</v>
      </c>
    </row>
    <row r="111">
      <c r="A111" s="14">
        <v>45068.7386833912</v>
      </c>
      <c r="B111" s="15" t="s">
        <v>53</v>
      </c>
      <c r="C111" s="15" t="s">
        <v>53</v>
      </c>
      <c r="D111" s="15" t="s">
        <v>72</v>
      </c>
      <c r="T111" s="22">
        <v>2.0</v>
      </c>
      <c r="V111" s="15" t="s">
        <v>66</v>
      </c>
      <c r="X111" s="15" t="s">
        <v>53</v>
      </c>
      <c r="Y111" s="15">
        <v>4.0</v>
      </c>
      <c r="Z111" s="15">
        <v>2.0</v>
      </c>
      <c r="AA111" s="15">
        <v>2.0</v>
      </c>
      <c r="AB111" s="15">
        <v>4.0</v>
      </c>
      <c r="AC111" s="15">
        <v>4.0</v>
      </c>
      <c r="AD111" s="15">
        <v>5.0</v>
      </c>
      <c r="AE111" s="15">
        <v>1.0</v>
      </c>
      <c r="AF111" s="15">
        <v>4.0</v>
      </c>
      <c r="AG111" s="15">
        <v>4.0</v>
      </c>
      <c r="AH111" s="15">
        <v>4.0</v>
      </c>
      <c r="AI111" s="15">
        <v>4.0</v>
      </c>
      <c r="AJ111" s="15" t="s">
        <v>55</v>
      </c>
      <c r="AK111" s="15" t="s">
        <v>56</v>
      </c>
      <c r="AL111" s="15" t="s">
        <v>64</v>
      </c>
      <c r="AM111" s="15">
        <v>2.0</v>
      </c>
      <c r="AN111" s="15">
        <v>-1.0</v>
      </c>
      <c r="AO111" s="15">
        <v>20.0</v>
      </c>
      <c r="AP111" s="15" t="s">
        <v>247</v>
      </c>
      <c r="AQ111" s="15" t="s">
        <v>154</v>
      </c>
      <c r="AR111" s="15" t="s">
        <v>61</v>
      </c>
      <c r="AS111" s="15" t="s">
        <v>69</v>
      </c>
      <c r="AT111" s="15" t="s">
        <v>248</v>
      </c>
      <c r="AU111" s="15" t="s">
        <v>249</v>
      </c>
    </row>
    <row r="112">
      <c r="A112" s="14">
        <v>45068.74219341435</v>
      </c>
      <c r="B112" s="15" t="s">
        <v>53</v>
      </c>
      <c r="C112" s="15" t="s">
        <v>53</v>
      </c>
      <c r="D112" s="15" t="s">
        <v>65</v>
      </c>
      <c r="T112" s="22">
        <v>4.0</v>
      </c>
      <c r="W112" s="15" t="s">
        <v>66</v>
      </c>
      <c r="X112" s="15" t="s">
        <v>53</v>
      </c>
      <c r="Y112" s="15">
        <v>4.0</v>
      </c>
      <c r="Z112" s="15">
        <v>2.0</v>
      </c>
      <c r="AA112" s="15">
        <v>2.0</v>
      </c>
      <c r="AB112" s="15">
        <v>4.0</v>
      </c>
      <c r="AC112" s="15">
        <v>3.0</v>
      </c>
      <c r="AD112" s="15">
        <v>5.0</v>
      </c>
      <c r="AE112" s="15">
        <v>2.0</v>
      </c>
      <c r="AF112" s="15">
        <v>4.0</v>
      </c>
      <c r="AG112" s="15">
        <v>4.0</v>
      </c>
      <c r="AH112" s="15">
        <v>4.0</v>
      </c>
      <c r="AI112" s="15">
        <v>4.0</v>
      </c>
      <c r="AJ112" s="15" t="s">
        <v>55</v>
      </c>
      <c r="AK112" s="15" t="s">
        <v>64</v>
      </c>
      <c r="AL112" s="15" t="s">
        <v>83</v>
      </c>
      <c r="AM112" s="15">
        <v>4.0</v>
      </c>
      <c r="AN112" s="15" t="s">
        <v>72</v>
      </c>
      <c r="AO112" s="15">
        <v>27.0</v>
      </c>
      <c r="AP112" s="15" t="s">
        <v>59</v>
      </c>
      <c r="AQ112" s="15" t="s">
        <v>60</v>
      </c>
      <c r="AR112" s="15" t="s">
        <v>61</v>
      </c>
      <c r="AS112" s="15" t="s">
        <v>105</v>
      </c>
      <c r="AT112" s="15" t="s">
        <v>250</v>
      </c>
      <c r="AU112" s="15" t="s">
        <v>251</v>
      </c>
    </row>
    <row r="113">
      <c r="A113" s="14">
        <v>45068.7500830787</v>
      </c>
      <c r="B113" s="15" t="s">
        <v>53</v>
      </c>
      <c r="C113" s="15" t="s">
        <v>53</v>
      </c>
      <c r="D113" s="15">
        <v>-4.0</v>
      </c>
      <c r="E113" s="15" t="s">
        <v>53</v>
      </c>
      <c r="F113" s="15">
        <v>4.0</v>
      </c>
      <c r="G113" s="15">
        <v>2.0</v>
      </c>
      <c r="H113" s="15">
        <v>1.0</v>
      </c>
      <c r="I113" s="15">
        <v>4.0</v>
      </c>
      <c r="J113" s="15">
        <v>2.0</v>
      </c>
      <c r="K113" s="15">
        <v>4.0</v>
      </c>
      <c r="L113" s="15">
        <v>2.0</v>
      </c>
      <c r="M113" s="15">
        <v>3.0</v>
      </c>
      <c r="N113" s="15">
        <v>2.0</v>
      </c>
      <c r="O113" s="15">
        <v>3.0</v>
      </c>
      <c r="P113" s="15">
        <v>3.0</v>
      </c>
      <c r="Q113" s="15" t="s">
        <v>55</v>
      </c>
      <c r="R113" s="15" t="s">
        <v>64</v>
      </c>
      <c r="S113" s="15" t="s">
        <v>83</v>
      </c>
      <c r="T113" s="15">
        <v>4.0</v>
      </c>
      <c r="U113" s="15" t="s">
        <v>65</v>
      </c>
      <c r="W113" s="15" t="s">
        <v>66</v>
      </c>
      <c r="AO113" s="15">
        <v>22.0</v>
      </c>
      <c r="AP113" s="15" t="s">
        <v>67</v>
      </c>
      <c r="AQ113" s="15" t="s">
        <v>98</v>
      </c>
      <c r="AR113" s="15" t="s">
        <v>61</v>
      </c>
      <c r="AS113" s="15" t="s">
        <v>69</v>
      </c>
      <c r="AT113" s="15" t="s">
        <v>252</v>
      </c>
      <c r="AU113" s="15" t="s">
        <v>129</v>
      </c>
    </row>
    <row r="114">
      <c r="A114" s="14">
        <v>45068.752462557866</v>
      </c>
      <c r="B114" s="15" t="s">
        <v>53</v>
      </c>
      <c r="C114" s="15" t="s">
        <v>53</v>
      </c>
      <c r="D114" s="15">
        <v>-3.0</v>
      </c>
      <c r="E114" s="15" t="s">
        <v>53</v>
      </c>
      <c r="F114" s="15">
        <v>3.0</v>
      </c>
      <c r="G114" s="15">
        <v>2.0</v>
      </c>
      <c r="H114" s="15">
        <v>3.0</v>
      </c>
      <c r="I114" s="15">
        <v>4.0</v>
      </c>
      <c r="J114" s="15">
        <v>2.0</v>
      </c>
      <c r="K114" s="15">
        <v>2.0</v>
      </c>
      <c r="L114" s="15">
        <v>2.0</v>
      </c>
      <c r="M114" s="15">
        <v>3.0</v>
      </c>
      <c r="N114" s="15">
        <v>3.0</v>
      </c>
      <c r="O114" s="15">
        <v>3.0</v>
      </c>
      <c r="P114" s="15">
        <v>2.0</v>
      </c>
      <c r="Q114" s="15" t="s">
        <v>55</v>
      </c>
      <c r="R114" s="15" t="s">
        <v>57</v>
      </c>
      <c r="S114" s="15" t="s">
        <v>64</v>
      </c>
      <c r="T114" s="15">
        <v>4.0</v>
      </c>
      <c r="U114" s="15">
        <v>-1.0</v>
      </c>
      <c r="V114" s="15" t="s">
        <v>58</v>
      </c>
      <c r="AO114" s="15">
        <v>21.0</v>
      </c>
      <c r="AP114" s="15" t="s">
        <v>67</v>
      </c>
      <c r="AQ114" s="15" t="s">
        <v>60</v>
      </c>
      <c r="AR114" s="15" t="s">
        <v>61</v>
      </c>
      <c r="AS114" s="15" t="s">
        <v>99</v>
      </c>
      <c r="AT114" s="15" t="s">
        <v>253</v>
      </c>
    </row>
    <row r="115">
      <c r="A115" s="14">
        <v>45068.75809930556</v>
      </c>
      <c r="B115" s="15" t="s">
        <v>53</v>
      </c>
      <c r="C115" s="15" t="s">
        <v>53</v>
      </c>
      <c r="D115" s="15" t="s">
        <v>85</v>
      </c>
      <c r="T115" s="22">
        <v>4.0</v>
      </c>
      <c r="W115" s="15" t="s">
        <v>108</v>
      </c>
      <c r="X115" s="15" t="s">
        <v>53</v>
      </c>
      <c r="Y115" s="15">
        <v>3.0</v>
      </c>
      <c r="Z115" s="15">
        <v>3.0</v>
      </c>
      <c r="AA115" s="15">
        <v>2.0</v>
      </c>
      <c r="AB115" s="15">
        <v>3.0</v>
      </c>
      <c r="AC115" s="15">
        <v>2.0</v>
      </c>
      <c r="AD115" s="15">
        <v>3.0</v>
      </c>
      <c r="AE115" s="15">
        <v>3.0</v>
      </c>
      <c r="AF115" s="15">
        <v>3.0</v>
      </c>
      <c r="AG115" s="15">
        <v>4.0</v>
      </c>
      <c r="AH115" s="15">
        <v>3.0</v>
      </c>
      <c r="AI115" s="15">
        <v>3.0</v>
      </c>
      <c r="AJ115" s="15" t="s">
        <v>64</v>
      </c>
      <c r="AK115" s="15" t="s">
        <v>55</v>
      </c>
      <c r="AL115" s="15" t="s">
        <v>56</v>
      </c>
      <c r="AM115" s="15">
        <v>4.0</v>
      </c>
      <c r="AN115" s="15" t="s">
        <v>54</v>
      </c>
      <c r="AO115" s="15">
        <v>30.0</v>
      </c>
      <c r="AP115" s="15" t="s">
        <v>67</v>
      </c>
      <c r="AQ115" s="15" t="s">
        <v>254</v>
      </c>
      <c r="AR115" s="15" t="s">
        <v>109</v>
      </c>
      <c r="AS115" s="15" t="s">
        <v>255</v>
      </c>
      <c r="AT115" s="15" t="s">
        <v>256</v>
      </c>
      <c r="AU115" s="15" t="s">
        <v>257</v>
      </c>
    </row>
    <row r="116">
      <c r="A116" s="14">
        <v>45068.761967314815</v>
      </c>
      <c r="B116" s="15" t="s">
        <v>53</v>
      </c>
      <c r="C116" s="15" t="s">
        <v>53</v>
      </c>
      <c r="D116" s="15" t="s">
        <v>72</v>
      </c>
      <c r="T116" s="22">
        <v>4.0</v>
      </c>
      <c r="W116" s="15" t="s">
        <v>116</v>
      </c>
      <c r="X116" s="15" t="s">
        <v>53</v>
      </c>
      <c r="Y116" s="15">
        <v>3.0</v>
      </c>
      <c r="Z116" s="15">
        <v>2.0</v>
      </c>
      <c r="AA116" s="15">
        <v>2.0</v>
      </c>
      <c r="AB116" s="15">
        <v>4.0</v>
      </c>
      <c r="AC116" s="15">
        <v>3.0</v>
      </c>
      <c r="AD116" s="15">
        <v>2.0</v>
      </c>
      <c r="AE116" s="15">
        <v>3.0</v>
      </c>
      <c r="AF116" s="15">
        <v>3.0</v>
      </c>
      <c r="AG116" s="15">
        <v>2.0</v>
      </c>
      <c r="AH116" s="15">
        <v>2.0</v>
      </c>
      <c r="AI116" s="15">
        <v>2.0</v>
      </c>
      <c r="AJ116" s="15" t="s">
        <v>57</v>
      </c>
      <c r="AK116" s="15" t="s">
        <v>86</v>
      </c>
      <c r="AL116" s="15" t="s">
        <v>55</v>
      </c>
      <c r="AM116" s="15">
        <v>4.0</v>
      </c>
      <c r="AN116" s="15" t="s">
        <v>72</v>
      </c>
      <c r="AO116" s="15">
        <v>19.0</v>
      </c>
      <c r="AP116" s="15" t="s">
        <v>67</v>
      </c>
      <c r="AQ116" s="15" t="s">
        <v>98</v>
      </c>
      <c r="AR116" s="15" t="s">
        <v>109</v>
      </c>
      <c r="AS116" s="15" t="s">
        <v>138</v>
      </c>
      <c r="AT116" s="15" t="s">
        <v>258</v>
      </c>
    </row>
    <row r="117">
      <c r="A117" s="14">
        <v>45068.762169375</v>
      </c>
      <c r="B117" s="15" t="s">
        <v>97</v>
      </c>
    </row>
    <row r="118">
      <c r="A118" s="14">
        <v>45068.764275243055</v>
      </c>
      <c r="B118" s="15" t="s">
        <v>53</v>
      </c>
      <c r="C118" s="15" t="s">
        <v>53</v>
      </c>
      <c r="D118" s="15">
        <v>-1.0</v>
      </c>
      <c r="E118" s="15" t="s">
        <v>53</v>
      </c>
      <c r="F118" s="15">
        <v>4.0</v>
      </c>
      <c r="G118" s="15">
        <v>5.0</v>
      </c>
      <c r="H118" s="15">
        <v>3.0</v>
      </c>
      <c r="I118" s="15">
        <v>3.0</v>
      </c>
      <c r="J118" s="15">
        <v>3.0</v>
      </c>
      <c r="K118" s="15">
        <v>3.0</v>
      </c>
      <c r="L118" s="15">
        <v>3.0</v>
      </c>
      <c r="M118" s="15">
        <v>3.0</v>
      </c>
      <c r="N118" s="15">
        <v>3.0</v>
      </c>
      <c r="O118" s="15">
        <v>3.0</v>
      </c>
      <c r="P118" s="15">
        <v>3.0</v>
      </c>
      <c r="Q118" s="15" t="s">
        <v>92</v>
      </c>
      <c r="R118" s="15" t="s">
        <v>86</v>
      </c>
      <c r="S118" s="15" t="s">
        <v>107</v>
      </c>
      <c r="T118" s="15">
        <v>3.0</v>
      </c>
      <c r="U118" s="15" t="s">
        <v>72</v>
      </c>
      <c r="W118" s="15" t="s">
        <v>108</v>
      </c>
      <c r="AO118" s="15">
        <v>24.0</v>
      </c>
      <c r="AP118" s="15" t="s">
        <v>59</v>
      </c>
      <c r="AQ118" s="15" t="s">
        <v>259</v>
      </c>
      <c r="AR118" s="15" t="s">
        <v>109</v>
      </c>
      <c r="AS118" s="15" t="s">
        <v>260</v>
      </c>
      <c r="AT118" s="15" t="s">
        <v>261</v>
      </c>
      <c r="AU118" s="15" t="s">
        <v>257</v>
      </c>
    </row>
    <row r="119">
      <c r="A119" s="14">
        <v>45068.76642047454</v>
      </c>
      <c r="B119" s="15" t="s">
        <v>53</v>
      </c>
      <c r="C119" s="15" t="s">
        <v>53</v>
      </c>
      <c r="D119" s="15" t="s">
        <v>54</v>
      </c>
      <c r="T119" s="22">
        <v>5.0</v>
      </c>
      <c r="W119" s="15" t="s">
        <v>77</v>
      </c>
      <c r="X119" s="15" t="s">
        <v>53</v>
      </c>
      <c r="Y119" s="15">
        <v>4.0</v>
      </c>
      <c r="Z119" s="15">
        <v>2.0</v>
      </c>
      <c r="AA119" s="15">
        <v>3.0</v>
      </c>
      <c r="AB119" s="15">
        <v>4.0</v>
      </c>
      <c r="AC119" s="15">
        <v>4.0</v>
      </c>
      <c r="AD119" s="15">
        <v>4.0</v>
      </c>
      <c r="AE119" s="15">
        <v>2.0</v>
      </c>
      <c r="AF119" s="15">
        <v>2.0</v>
      </c>
      <c r="AG119" s="15">
        <v>3.0</v>
      </c>
      <c r="AH119" s="15">
        <v>3.0</v>
      </c>
      <c r="AI119" s="15">
        <v>3.0</v>
      </c>
      <c r="AJ119" s="15" t="s">
        <v>55</v>
      </c>
      <c r="AK119" s="15" t="s">
        <v>57</v>
      </c>
      <c r="AL119" s="15" t="s">
        <v>64</v>
      </c>
      <c r="AM119" s="15">
        <v>5.0</v>
      </c>
      <c r="AN119" s="15" t="s">
        <v>65</v>
      </c>
      <c r="AO119" s="15">
        <v>27.0</v>
      </c>
      <c r="AP119" s="15" t="s">
        <v>59</v>
      </c>
      <c r="AQ119" s="15" t="s">
        <v>68</v>
      </c>
      <c r="AR119" s="15" t="s">
        <v>61</v>
      </c>
      <c r="AS119" s="15" t="s">
        <v>78</v>
      </c>
      <c r="AT119" s="15" t="s">
        <v>262</v>
      </c>
    </row>
    <row r="120">
      <c r="A120" s="14">
        <v>45068.76926090277</v>
      </c>
      <c r="B120" s="15" t="s">
        <v>53</v>
      </c>
      <c r="C120" s="15" t="s">
        <v>53</v>
      </c>
      <c r="D120" s="15" t="s">
        <v>72</v>
      </c>
      <c r="T120" s="22">
        <v>3.0</v>
      </c>
      <c r="V120" s="15" t="s">
        <v>80</v>
      </c>
      <c r="X120" s="15" t="s">
        <v>53</v>
      </c>
      <c r="Y120" s="15">
        <v>2.0</v>
      </c>
      <c r="Z120" s="15">
        <v>3.0</v>
      </c>
      <c r="AA120" s="15">
        <v>4.0</v>
      </c>
      <c r="AB120" s="15">
        <v>2.0</v>
      </c>
      <c r="AC120" s="15">
        <v>1.0</v>
      </c>
      <c r="AD120" s="15">
        <v>5.0</v>
      </c>
      <c r="AE120" s="15">
        <v>1.0</v>
      </c>
      <c r="AF120" s="15">
        <v>4.0</v>
      </c>
      <c r="AG120" s="15">
        <v>4.0</v>
      </c>
      <c r="AH120" s="15">
        <v>3.0</v>
      </c>
      <c r="AI120" s="15">
        <v>3.0</v>
      </c>
      <c r="AJ120" s="15" t="s">
        <v>64</v>
      </c>
      <c r="AK120" s="15" t="s">
        <v>55</v>
      </c>
      <c r="AL120" s="15" t="s">
        <v>56</v>
      </c>
      <c r="AM120" s="15">
        <v>3.0</v>
      </c>
      <c r="AN120" s="15">
        <v>-5.0</v>
      </c>
      <c r="AO120" s="15">
        <v>28.0</v>
      </c>
      <c r="AP120" s="15" t="s">
        <v>59</v>
      </c>
      <c r="AQ120" s="15" t="s">
        <v>263</v>
      </c>
      <c r="AR120" s="15" t="s">
        <v>140</v>
      </c>
      <c r="AS120" s="15" t="s">
        <v>264</v>
      </c>
      <c r="AT120" s="15" t="s">
        <v>265</v>
      </c>
      <c r="AU120" s="15" t="s">
        <v>266</v>
      </c>
    </row>
    <row r="121">
      <c r="A121" s="14">
        <v>45068.770071018516</v>
      </c>
      <c r="B121" s="15" t="s">
        <v>53</v>
      </c>
      <c r="C121" s="15" t="s">
        <v>53</v>
      </c>
      <c r="D121" s="15">
        <v>-2.0</v>
      </c>
      <c r="E121" s="15" t="s">
        <v>53</v>
      </c>
      <c r="F121" s="15">
        <v>3.0</v>
      </c>
      <c r="G121" s="15">
        <v>2.0</v>
      </c>
      <c r="H121" s="15">
        <v>3.0</v>
      </c>
      <c r="I121" s="15">
        <v>4.0</v>
      </c>
      <c r="J121" s="15">
        <v>3.0</v>
      </c>
      <c r="K121" s="15">
        <v>5.0</v>
      </c>
      <c r="L121" s="15">
        <v>2.0</v>
      </c>
      <c r="M121" s="15">
        <v>3.0</v>
      </c>
      <c r="N121" s="15">
        <v>3.0</v>
      </c>
      <c r="O121" s="15">
        <v>3.0</v>
      </c>
      <c r="P121" s="15">
        <v>4.0</v>
      </c>
      <c r="Q121" s="15" t="s">
        <v>57</v>
      </c>
      <c r="R121" s="15" t="s">
        <v>64</v>
      </c>
      <c r="S121" s="15" t="s">
        <v>86</v>
      </c>
      <c r="T121" s="15">
        <v>5.0</v>
      </c>
      <c r="U121" s="15">
        <v>-2.0</v>
      </c>
      <c r="V121" s="15" t="s">
        <v>80</v>
      </c>
      <c r="AO121" s="15">
        <v>26.0</v>
      </c>
      <c r="AP121" s="15" t="s">
        <v>67</v>
      </c>
      <c r="AQ121" s="15" t="s">
        <v>60</v>
      </c>
      <c r="AR121" s="15" t="s">
        <v>140</v>
      </c>
      <c r="AS121" s="15" t="s">
        <v>110</v>
      </c>
      <c r="AT121" s="15" t="s">
        <v>267</v>
      </c>
    </row>
    <row r="122">
      <c r="A122" s="14">
        <v>45068.772025625</v>
      </c>
      <c r="B122" s="15" t="s">
        <v>53</v>
      </c>
      <c r="C122" s="15" t="s">
        <v>53</v>
      </c>
      <c r="D122" s="15" t="s">
        <v>54</v>
      </c>
      <c r="T122" s="22">
        <v>1.0</v>
      </c>
      <c r="W122" s="15" t="s">
        <v>66</v>
      </c>
      <c r="X122" s="15" t="s">
        <v>53</v>
      </c>
      <c r="Y122" s="15">
        <v>3.0</v>
      </c>
      <c r="Z122" s="15">
        <v>3.0</v>
      </c>
      <c r="AA122" s="15">
        <v>3.0</v>
      </c>
      <c r="AB122" s="15">
        <v>3.0</v>
      </c>
      <c r="AC122" s="15">
        <v>1.0</v>
      </c>
      <c r="AD122" s="15">
        <v>4.0</v>
      </c>
      <c r="AE122" s="15">
        <v>1.0</v>
      </c>
      <c r="AF122" s="15">
        <v>3.0</v>
      </c>
      <c r="AG122" s="15">
        <v>3.0</v>
      </c>
      <c r="AH122" s="15">
        <v>3.0</v>
      </c>
      <c r="AI122" s="15">
        <v>3.0</v>
      </c>
      <c r="AJ122" s="15" t="s">
        <v>55</v>
      </c>
      <c r="AK122" s="15" t="s">
        <v>64</v>
      </c>
      <c r="AL122" s="15" t="s">
        <v>56</v>
      </c>
      <c r="AM122" s="15">
        <v>1.0</v>
      </c>
      <c r="AN122" s="15" t="s">
        <v>54</v>
      </c>
      <c r="AO122" s="15">
        <v>19.0</v>
      </c>
      <c r="AP122" s="15" t="s">
        <v>59</v>
      </c>
      <c r="AQ122" s="15" t="s">
        <v>268</v>
      </c>
      <c r="AR122" s="15" t="s">
        <v>109</v>
      </c>
      <c r="AS122" s="15" t="s">
        <v>269</v>
      </c>
      <c r="AT122" s="15" t="s">
        <v>270</v>
      </c>
    </row>
    <row r="123">
      <c r="A123" s="14">
        <v>45068.775684583336</v>
      </c>
      <c r="B123" s="15" t="s">
        <v>53</v>
      </c>
      <c r="C123" s="15" t="s">
        <v>53</v>
      </c>
      <c r="D123" s="15" t="s">
        <v>54</v>
      </c>
      <c r="T123" s="22">
        <v>2.0</v>
      </c>
      <c r="W123" s="15" t="s">
        <v>271</v>
      </c>
      <c r="X123" s="15" t="s">
        <v>53</v>
      </c>
      <c r="Y123" s="15">
        <v>5.0</v>
      </c>
      <c r="Z123" s="15">
        <v>1.0</v>
      </c>
      <c r="AA123" s="15">
        <v>1.0</v>
      </c>
      <c r="AB123" s="15">
        <v>5.0</v>
      </c>
      <c r="AC123" s="15">
        <v>4.0</v>
      </c>
      <c r="AD123" s="15">
        <v>3.0</v>
      </c>
      <c r="AE123" s="15">
        <v>2.0</v>
      </c>
      <c r="AF123" s="15">
        <v>3.0</v>
      </c>
      <c r="AG123" s="15">
        <v>2.0</v>
      </c>
      <c r="AH123" s="15">
        <v>2.0</v>
      </c>
      <c r="AI123" s="15">
        <v>2.0</v>
      </c>
      <c r="AJ123" s="15" t="s">
        <v>64</v>
      </c>
      <c r="AK123" s="15" t="s">
        <v>56</v>
      </c>
      <c r="AL123" s="15" t="s">
        <v>86</v>
      </c>
      <c r="AM123" s="15">
        <v>2.0</v>
      </c>
      <c r="AN123" s="15" t="s">
        <v>54</v>
      </c>
      <c r="AO123" s="15">
        <v>19.0</v>
      </c>
      <c r="AP123" s="15" t="s">
        <v>59</v>
      </c>
      <c r="AQ123" s="15" t="s">
        <v>272</v>
      </c>
      <c r="AR123" s="15" t="s">
        <v>109</v>
      </c>
      <c r="AS123" s="15" t="s">
        <v>160</v>
      </c>
      <c r="AT123" s="15" t="s">
        <v>273</v>
      </c>
      <c r="AU123" s="15" t="s">
        <v>274</v>
      </c>
    </row>
    <row r="124">
      <c r="A124" s="14">
        <v>45068.7797190625</v>
      </c>
      <c r="B124" s="15" t="s">
        <v>53</v>
      </c>
      <c r="C124" s="15" t="s">
        <v>53</v>
      </c>
      <c r="D124" s="15" t="s">
        <v>85</v>
      </c>
      <c r="T124" s="22">
        <v>4.0</v>
      </c>
      <c r="W124" s="15" t="s">
        <v>108</v>
      </c>
      <c r="X124" s="15" t="s">
        <v>53</v>
      </c>
      <c r="Y124" s="15">
        <v>4.0</v>
      </c>
      <c r="Z124" s="15">
        <v>5.0</v>
      </c>
      <c r="AA124" s="15">
        <v>2.0</v>
      </c>
      <c r="AB124" s="15">
        <v>4.0</v>
      </c>
      <c r="AC124" s="15">
        <v>3.0</v>
      </c>
      <c r="AD124" s="15">
        <v>4.0</v>
      </c>
      <c r="AE124" s="15">
        <v>2.0</v>
      </c>
      <c r="AF124" s="15">
        <v>4.0</v>
      </c>
      <c r="AG124" s="15">
        <v>4.0</v>
      </c>
      <c r="AH124" s="15">
        <v>4.0</v>
      </c>
      <c r="AI124" s="15">
        <v>4.0</v>
      </c>
      <c r="AJ124" s="15" t="s">
        <v>55</v>
      </c>
      <c r="AK124" s="15" t="s">
        <v>56</v>
      </c>
      <c r="AL124" s="15" t="s">
        <v>57</v>
      </c>
      <c r="AM124" s="15">
        <v>4.0</v>
      </c>
      <c r="AN124" s="15" t="s">
        <v>65</v>
      </c>
      <c r="AO124" s="15">
        <v>24.0</v>
      </c>
      <c r="AP124" s="15" t="s">
        <v>67</v>
      </c>
      <c r="AQ124" s="15" t="s">
        <v>60</v>
      </c>
      <c r="AR124" s="15" t="s">
        <v>61</v>
      </c>
      <c r="AS124" s="15" t="s">
        <v>78</v>
      </c>
      <c r="AT124" s="15" t="s">
        <v>275</v>
      </c>
    </row>
    <row r="125">
      <c r="A125" s="14">
        <v>45068.77998875</v>
      </c>
      <c r="B125" s="15" t="s">
        <v>53</v>
      </c>
      <c r="C125" s="15" t="s">
        <v>53</v>
      </c>
      <c r="D125" s="15" t="s">
        <v>104</v>
      </c>
      <c r="T125" s="22">
        <v>4.0</v>
      </c>
      <c r="W125" s="15" t="s">
        <v>73</v>
      </c>
      <c r="X125" s="15" t="s">
        <v>53</v>
      </c>
      <c r="Y125" s="15">
        <v>5.0</v>
      </c>
      <c r="Z125" s="15">
        <v>1.0</v>
      </c>
      <c r="AA125" s="15">
        <v>3.0</v>
      </c>
      <c r="AB125" s="15">
        <v>3.0</v>
      </c>
      <c r="AC125" s="15">
        <v>3.0</v>
      </c>
      <c r="AD125" s="15">
        <v>3.0</v>
      </c>
      <c r="AE125" s="15">
        <v>3.0</v>
      </c>
      <c r="AF125" s="15">
        <v>3.0</v>
      </c>
      <c r="AG125" s="15">
        <v>3.0</v>
      </c>
      <c r="AH125" s="15">
        <v>3.0</v>
      </c>
      <c r="AI125" s="15">
        <v>3.0</v>
      </c>
      <c r="AJ125" s="15" t="s">
        <v>55</v>
      </c>
      <c r="AK125" s="15" t="s">
        <v>64</v>
      </c>
      <c r="AL125" s="15" t="s">
        <v>56</v>
      </c>
      <c r="AM125" s="15">
        <v>4.0</v>
      </c>
      <c r="AN125" s="15" t="s">
        <v>54</v>
      </c>
      <c r="AO125" s="15">
        <v>23.0</v>
      </c>
      <c r="AP125" s="15" t="s">
        <v>67</v>
      </c>
      <c r="AQ125" s="15" t="s">
        <v>60</v>
      </c>
      <c r="AR125" s="15" t="s">
        <v>61</v>
      </c>
      <c r="AS125" s="15" t="s">
        <v>110</v>
      </c>
      <c r="AT125" s="15" t="s">
        <v>276</v>
      </c>
    </row>
    <row r="126">
      <c r="A126" s="14">
        <v>45068.780038530094</v>
      </c>
      <c r="B126" s="15" t="s">
        <v>53</v>
      </c>
      <c r="C126" s="15" t="s">
        <v>53</v>
      </c>
      <c r="D126" s="15" t="s">
        <v>65</v>
      </c>
      <c r="T126" s="22">
        <v>4.0</v>
      </c>
      <c r="W126" s="15" t="s">
        <v>77</v>
      </c>
      <c r="X126" s="15" t="s">
        <v>53</v>
      </c>
      <c r="Y126" s="15">
        <v>3.0</v>
      </c>
      <c r="Z126" s="15">
        <v>4.0</v>
      </c>
      <c r="AA126" s="15">
        <v>4.0</v>
      </c>
      <c r="AB126" s="15">
        <v>5.0</v>
      </c>
      <c r="AC126" s="15">
        <v>2.0</v>
      </c>
      <c r="AD126" s="15">
        <v>5.0</v>
      </c>
      <c r="AE126" s="15">
        <v>1.0</v>
      </c>
      <c r="AF126" s="15">
        <v>3.0</v>
      </c>
      <c r="AG126" s="15">
        <v>4.0</v>
      </c>
      <c r="AH126" s="15">
        <v>3.0</v>
      </c>
      <c r="AI126" s="15">
        <v>3.0</v>
      </c>
      <c r="AJ126" s="15" t="s">
        <v>64</v>
      </c>
      <c r="AK126" s="15" t="s">
        <v>56</v>
      </c>
      <c r="AL126" s="15" t="s">
        <v>57</v>
      </c>
      <c r="AM126" s="15">
        <v>4.0</v>
      </c>
      <c r="AN126" s="15" t="s">
        <v>72</v>
      </c>
      <c r="AO126" s="15">
        <v>23.0</v>
      </c>
      <c r="AP126" s="15" t="s">
        <v>67</v>
      </c>
      <c r="AQ126" s="15" t="s">
        <v>120</v>
      </c>
      <c r="AR126" s="15" t="s">
        <v>61</v>
      </c>
      <c r="AS126" s="15" t="s">
        <v>78</v>
      </c>
      <c r="AT126" s="15" t="s">
        <v>277</v>
      </c>
      <c r="AU126" s="15" t="s">
        <v>278</v>
      </c>
    </row>
    <row r="127">
      <c r="A127" s="14">
        <v>45068.78308055556</v>
      </c>
      <c r="B127" s="15" t="s">
        <v>53</v>
      </c>
      <c r="C127" s="15" t="s">
        <v>53</v>
      </c>
      <c r="D127" s="15" t="s">
        <v>72</v>
      </c>
      <c r="T127" s="22">
        <v>3.0</v>
      </c>
      <c r="W127" s="15" t="s">
        <v>77</v>
      </c>
      <c r="X127" s="15" t="s">
        <v>53</v>
      </c>
      <c r="Y127" s="15">
        <v>3.0</v>
      </c>
      <c r="Z127" s="15">
        <v>3.0</v>
      </c>
      <c r="AA127" s="15">
        <v>3.0</v>
      </c>
      <c r="AB127" s="15">
        <v>3.0</v>
      </c>
      <c r="AC127" s="15">
        <v>2.0</v>
      </c>
      <c r="AD127" s="15">
        <v>4.0</v>
      </c>
      <c r="AE127" s="15">
        <v>2.0</v>
      </c>
      <c r="AF127" s="15">
        <v>3.0</v>
      </c>
      <c r="AG127" s="15">
        <v>3.0</v>
      </c>
      <c r="AH127" s="15">
        <v>3.0</v>
      </c>
      <c r="AI127" s="15">
        <v>3.0</v>
      </c>
      <c r="AJ127" s="15" t="s">
        <v>56</v>
      </c>
      <c r="AK127" s="15" t="s">
        <v>64</v>
      </c>
      <c r="AL127" s="15" t="s">
        <v>55</v>
      </c>
      <c r="AM127" s="15">
        <v>3.0</v>
      </c>
      <c r="AN127" s="15" t="s">
        <v>72</v>
      </c>
      <c r="AO127" s="15">
        <v>46.0</v>
      </c>
      <c r="AP127" s="15" t="s">
        <v>67</v>
      </c>
      <c r="AQ127" s="15" t="s">
        <v>60</v>
      </c>
      <c r="AR127" s="15" t="s">
        <v>140</v>
      </c>
      <c r="AS127" s="15" t="s">
        <v>279</v>
      </c>
      <c r="AT127" s="15" t="s">
        <v>280</v>
      </c>
      <c r="AU127" s="15" t="s">
        <v>129</v>
      </c>
    </row>
    <row r="128">
      <c r="A128" s="14">
        <v>45068.78576883102</v>
      </c>
      <c r="B128" s="15" t="s">
        <v>53</v>
      </c>
      <c r="C128" s="15" t="s">
        <v>53</v>
      </c>
      <c r="D128" s="15" t="s">
        <v>104</v>
      </c>
      <c r="T128" s="22">
        <v>2.0</v>
      </c>
      <c r="W128" s="15" t="s">
        <v>66</v>
      </c>
      <c r="X128" s="15" t="s">
        <v>53</v>
      </c>
      <c r="Y128" s="15">
        <v>5.0</v>
      </c>
      <c r="Z128" s="15">
        <v>1.0</v>
      </c>
      <c r="AA128" s="15">
        <v>1.0</v>
      </c>
      <c r="AB128" s="15">
        <v>4.0</v>
      </c>
      <c r="AC128" s="15">
        <v>3.0</v>
      </c>
      <c r="AD128" s="15">
        <v>5.0</v>
      </c>
      <c r="AE128" s="15">
        <v>1.0</v>
      </c>
      <c r="AF128" s="15">
        <v>5.0</v>
      </c>
      <c r="AG128" s="15">
        <v>5.0</v>
      </c>
      <c r="AH128" s="15">
        <v>3.0</v>
      </c>
      <c r="AI128" s="15">
        <v>3.0</v>
      </c>
      <c r="AJ128" s="15" t="s">
        <v>64</v>
      </c>
      <c r="AK128" s="15" t="s">
        <v>55</v>
      </c>
      <c r="AL128" s="15" t="s">
        <v>56</v>
      </c>
      <c r="AM128" s="15">
        <v>2.0</v>
      </c>
      <c r="AN128" s="15" t="s">
        <v>85</v>
      </c>
      <c r="AO128" s="15">
        <v>23.0</v>
      </c>
      <c r="AP128" s="15" t="s">
        <v>59</v>
      </c>
      <c r="AQ128" s="15" t="s">
        <v>60</v>
      </c>
      <c r="AR128" s="15" t="s">
        <v>140</v>
      </c>
      <c r="AS128" s="15" t="s">
        <v>93</v>
      </c>
      <c r="AT128" s="15" t="s">
        <v>281</v>
      </c>
      <c r="AU128" s="15" t="s">
        <v>129</v>
      </c>
    </row>
    <row r="129">
      <c r="A129" s="14">
        <v>45068.78826248842</v>
      </c>
      <c r="B129" s="15" t="s">
        <v>53</v>
      </c>
      <c r="C129" s="15" t="s">
        <v>53</v>
      </c>
      <c r="D129" s="15" t="s">
        <v>65</v>
      </c>
      <c r="T129" s="22">
        <v>2.0</v>
      </c>
      <c r="W129" s="15" t="s">
        <v>73</v>
      </c>
      <c r="X129" s="15" t="s">
        <v>53</v>
      </c>
      <c r="Y129" s="15">
        <v>5.0</v>
      </c>
      <c r="Z129" s="15">
        <v>2.0</v>
      </c>
      <c r="AA129" s="15">
        <v>1.0</v>
      </c>
      <c r="AB129" s="15">
        <v>4.0</v>
      </c>
      <c r="AC129" s="15">
        <v>3.0</v>
      </c>
      <c r="AD129" s="15">
        <v>4.0</v>
      </c>
      <c r="AE129" s="15">
        <v>1.0</v>
      </c>
      <c r="AF129" s="15">
        <v>2.0</v>
      </c>
      <c r="AG129" s="15">
        <v>3.0</v>
      </c>
      <c r="AH129" s="15">
        <v>3.0</v>
      </c>
      <c r="AI129" s="15">
        <v>3.0</v>
      </c>
      <c r="AJ129" s="15" t="s">
        <v>55</v>
      </c>
      <c r="AK129" s="15" t="s">
        <v>64</v>
      </c>
      <c r="AL129" s="15" t="s">
        <v>92</v>
      </c>
      <c r="AM129" s="15">
        <v>2.0</v>
      </c>
      <c r="AN129" s="15" t="s">
        <v>72</v>
      </c>
      <c r="AO129" s="15">
        <v>19.0</v>
      </c>
      <c r="AP129" s="15" t="s">
        <v>282</v>
      </c>
      <c r="AQ129" s="15" t="s">
        <v>68</v>
      </c>
      <c r="AR129" s="15" t="s">
        <v>61</v>
      </c>
      <c r="AS129" s="15" t="s">
        <v>62</v>
      </c>
      <c r="AT129" s="15" t="s">
        <v>283</v>
      </c>
    </row>
    <row r="130">
      <c r="A130" s="14">
        <v>45068.79396763889</v>
      </c>
      <c r="B130" s="15" t="s">
        <v>53</v>
      </c>
      <c r="C130" s="15" t="s">
        <v>53</v>
      </c>
      <c r="D130" s="15" t="s">
        <v>104</v>
      </c>
      <c r="T130" s="22">
        <v>4.0</v>
      </c>
      <c r="W130" s="15" t="s">
        <v>73</v>
      </c>
      <c r="X130" s="15" t="s">
        <v>53</v>
      </c>
      <c r="Y130" s="15">
        <v>5.0</v>
      </c>
      <c r="Z130" s="15">
        <v>1.0</v>
      </c>
      <c r="AA130" s="15">
        <v>1.0</v>
      </c>
      <c r="AB130" s="15">
        <v>1.0</v>
      </c>
      <c r="AC130" s="15">
        <v>4.0</v>
      </c>
      <c r="AD130" s="15">
        <v>3.0</v>
      </c>
      <c r="AE130" s="15">
        <v>3.0</v>
      </c>
      <c r="AF130" s="15">
        <v>3.0</v>
      </c>
      <c r="AG130" s="15">
        <v>3.0</v>
      </c>
      <c r="AH130" s="15">
        <v>3.0</v>
      </c>
      <c r="AI130" s="15">
        <v>3.0</v>
      </c>
      <c r="AJ130" s="15" t="s">
        <v>64</v>
      </c>
      <c r="AK130" s="15" t="s">
        <v>56</v>
      </c>
      <c r="AL130" s="15" t="s">
        <v>92</v>
      </c>
      <c r="AM130" s="15">
        <v>4.0</v>
      </c>
      <c r="AN130" s="15" t="s">
        <v>54</v>
      </c>
      <c r="AO130" s="15">
        <v>44.0</v>
      </c>
      <c r="AP130" s="15" t="s">
        <v>67</v>
      </c>
      <c r="AQ130" s="15" t="s">
        <v>68</v>
      </c>
      <c r="AR130" s="15" t="s">
        <v>140</v>
      </c>
      <c r="AS130" s="15" t="s">
        <v>105</v>
      </c>
      <c r="AT130" s="15" t="s">
        <v>284</v>
      </c>
    </row>
    <row r="131">
      <c r="A131" s="14">
        <v>45068.79481604167</v>
      </c>
      <c r="B131" s="15" t="s">
        <v>53</v>
      </c>
      <c r="C131" s="15" t="s">
        <v>53</v>
      </c>
      <c r="D131" s="15">
        <v>-5.0</v>
      </c>
      <c r="E131" s="15" t="s">
        <v>53</v>
      </c>
      <c r="F131" s="15">
        <v>2.0</v>
      </c>
      <c r="G131" s="15">
        <v>4.0</v>
      </c>
      <c r="H131" s="15">
        <v>3.0</v>
      </c>
      <c r="I131" s="15">
        <v>5.0</v>
      </c>
      <c r="J131" s="15">
        <v>1.0</v>
      </c>
      <c r="K131" s="15">
        <v>4.0</v>
      </c>
      <c r="L131" s="15">
        <v>1.0</v>
      </c>
      <c r="M131" s="15">
        <v>4.0</v>
      </c>
      <c r="N131" s="15">
        <v>4.0</v>
      </c>
      <c r="O131" s="15">
        <v>4.0</v>
      </c>
      <c r="P131" s="15">
        <v>4.0</v>
      </c>
      <c r="Q131" s="15" t="s">
        <v>55</v>
      </c>
      <c r="R131" s="15" t="s">
        <v>64</v>
      </c>
      <c r="S131" s="15" t="s">
        <v>83</v>
      </c>
      <c r="T131" s="15">
        <v>3.0</v>
      </c>
      <c r="U131" s="15">
        <v>-2.0</v>
      </c>
      <c r="V131" s="15" t="s">
        <v>80</v>
      </c>
      <c r="AO131" s="15">
        <v>24.0</v>
      </c>
      <c r="AP131" s="15" t="s">
        <v>59</v>
      </c>
      <c r="AQ131" s="15" t="s">
        <v>60</v>
      </c>
      <c r="AR131" s="15" t="s">
        <v>61</v>
      </c>
      <c r="AS131" s="15" t="s">
        <v>93</v>
      </c>
      <c r="AT131" s="15" t="s">
        <v>285</v>
      </c>
      <c r="AU131" s="15" t="s">
        <v>286</v>
      </c>
    </row>
    <row r="132">
      <c r="A132" s="14">
        <v>45068.803114317125</v>
      </c>
      <c r="B132" s="15" t="s">
        <v>53</v>
      </c>
      <c r="C132" s="15" t="s">
        <v>53</v>
      </c>
      <c r="D132" s="15">
        <v>-1.0</v>
      </c>
      <c r="E132" s="15" t="s">
        <v>97</v>
      </c>
      <c r="F132" s="15">
        <v>3.0</v>
      </c>
      <c r="G132" s="15">
        <v>4.0</v>
      </c>
      <c r="H132" s="15">
        <v>3.0</v>
      </c>
      <c r="I132" s="15">
        <v>4.0</v>
      </c>
      <c r="J132" s="15">
        <v>3.0</v>
      </c>
      <c r="K132" s="15">
        <v>3.0</v>
      </c>
      <c r="L132" s="15">
        <v>3.0</v>
      </c>
      <c r="M132" s="15">
        <v>3.0</v>
      </c>
      <c r="N132" s="15">
        <v>2.0</v>
      </c>
      <c r="O132" s="15">
        <v>2.0</v>
      </c>
      <c r="P132" s="15">
        <v>2.0</v>
      </c>
      <c r="Q132" s="15" t="s">
        <v>83</v>
      </c>
      <c r="R132" s="15" t="s">
        <v>107</v>
      </c>
      <c r="S132" s="15" t="s">
        <v>92</v>
      </c>
      <c r="T132" s="15">
        <v>4.0</v>
      </c>
      <c r="U132" s="15" t="s">
        <v>72</v>
      </c>
      <c r="W132" s="15" t="s">
        <v>73</v>
      </c>
      <c r="AO132" s="15">
        <v>22.0</v>
      </c>
      <c r="AP132" s="15" t="s">
        <v>67</v>
      </c>
      <c r="AQ132" s="15" t="s">
        <v>98</v>
      </c>
      <c r="AR132" s="15" t="s">
        <v>109</v>
      </c>
      <c r="AS132" s="15" t="s">
        <v>78</v>
      </c>
      <c r="AT132" s="15" t="s">
        <v>287</v>
      </c>
      <c r="AU132" s="15" t="s">
        <v>288</v>
      </c>
    </row>
    <row r="133">
      <c r="A133" s="14">
        <v>45068.80619716435</v>
      </c>
      <c r="B133" s="15" t="s">
        <v>53</v>
      </c>
      <c r="C133" s="15" t="s">
        <v>53</v>
      </c>
      <c r="D133" s="15" t="s">
        <v>85</v>
      </c>
      <c r="T133" s="22">
        <v>4.0</v>
      </c>
      <c r="W133" s="15" t="s">
        <v>73</v>
      </c>
      <c r="X133" s="15" t="s">
        <v>53</v>
      </c>
      <c r="Y133" s="15">
        <v>4.0</v>
      </c>
      <c r="Z133" s="15">
        <v>4.0</v>
      </c>
      <c r="AA133" s="15">
        <v>4.0</v>
      </c>
      <c r="AB133" s="15">
        <v>4.0</v>
      </c>
      <c r="AC133" s="15">
        <v>4.0</v>
      </c>
      <c r="AD133" s="15">
        <v>4.0</v>
      </c>
      <c r="AE133" s="15">
        <v>2.0</v>
      </c>
      <c r="AF133" s="15">
        <v>4.0</v>
      </c>
      <c r="AG133" s="15">
        <v>4.0</v>
      </c>
      <c r="AH133" s="15">
        <v>4.0</v>
      </c>
      <c r="AI133" s="15">
        <v>4.0</v>
      </c>
      <c r="AJ133" s="15" t="s">
        <v>55</v>
      </c>
      <c r="AK133" s="15" t="s">
        <v>64</v>
      </c>
      <c r="AL133" s="15" t="s">
        <v>57</v>
      </c>
      <c r="AM133" s="15">
        <v>4.0</v>
      </c>
      <c r="AN133" s="15" t="s">
        <v>65</v>
      </c>
      <c r="AO133" s="15">
        <v>24.0</v>
      </c>
      <c r="AP133" s="15" t="s">
        <v>67</v>
      </c>
      <c r="AQ133" s="15" t="s">
        <v>60</v>
      </c>
      <c r="AR133" s="15" t="s">
        <v>140</v>
      </c>
      <c r="AS133" s="15" t="s">
        <v>78</v>
      </c>
      <c r="AT133" s="15" t="s">
        <v>289</v>
      </c>
    </row>
    <row r="134">
      <c r="A134" s="14">
        <v>45068.80779523148</v>
      </c>
      <c r="B134" s="15" t="s">
        <v>53</v>
      </c>
      <c r="C134" s="15" t="s">
        <v>53</v>
      </c>
      <c r="D134" s="15" t="s">
        <v>54</v>
      </c>
      <c r="T134" s="22">
        <v>5.0</v>
      </c>
      <c r="V134" s="15" t="s">
        <v>290</v>
      </c>
      <c r="X134" s="15" t="s">
        <v>53</v>
      </c>
      <c r="Y134" s="15">
        <v>3.0</v>
      </c>
      <c r="Z134" s="15">
        <v>1.0</v>
      </c>
      <c r="AA134" s="15">
        <v>1.0</v>
      </c>
      <c r="AB134" s="15">
        <v>3.0</v>
      </c>
      <c r="AC134" s="15">
        <v>2.0</v>
      </c>
      <c r="AD134" s="15">
        <v>5.0</v>
      </c>
      <c r="AE134" s="15">
        <v>1.0</v>
      </c>
      <c r="AF134" s="15">
        <v>4.0</v>
      </c>
      <c r="AG134" s="15">
        <v>4.0</v>
      </c>
      <c r="AH134" s="15">
        <v>4.0</v>
      </c>
      <c r="AI134" s="15">
        <v>5.0</v>
      </c>
      <c r="AJ134" s="15" t="s">
        <v>57</v>
      </c>
      <c r="AK134" s="15" t="s">
        <v>55</v>
      </c>
      <c r="AL134" s="15" t="s">
        <v>86</v>
      </c>
      <c r="AM134" s="15">
        <v>5.0</v>
      </c>
      <c r="AN134" s="15">
        <v>-1.0</v>
      </c>
      <c r="AO134" s="15">
        <v>22.0</v>
      </c>
      <c r="AP134" s="15" t="s">
        <v>67</v>
      </c>
      <c r="AQ134" s="15" t="s">
        <v>60</v>
      </c>
      <c r="AR134" s="15" t="s">
        <v>61</v>
      </c>
      <c r="AS134" s="15" t="s">
        <v>78</v>
      </c>
      <c r="AT134" s="15" t="s">
        <v>291</v>
      </c>
    </row>
    <row r="135">
      <c r="A135" s="14">
        <v>45068.81036199074</v>
      </c>
      <c r="B135" s="15" t="s">
        <v>53</v>
      </c>
      <c r="C135" s="15" t="s">
        <v>53</v>
      </c>
      <c r="D135" s="15" t="s">
        <v>54</v>
      </c>
      <c r="T135" s="22">
        <v>4.0</v>
      </c>
      <c r="W135" s="15" t="s">
        <v>113</v>
      </c>
      <c r="X135" s="15" t="s">
        <v>53</v>
      </c>
      <c r="Y135" s="15">
        <v>4.0</v>
      </c>
      <c r="Z135" s="15">
        <v>2.0</v>
      </c>
      <c r="AA135" s="15">
        <v>2.0</v>
      </c>
      <c r="AB135" s="15">
        <v>4.0</v>
      </c>
      <c r="AC135" s="15">
        <v>5.0</v>
      </c>
      <c r="AD135" s="15">
        <v>3.0</v>
      </c>
      <c r="AE135" s="15">
        <v>2.0</v>
      </c>
      <c r="AF135" s="15">
        <v>2.0</v>
      </c>
      <c r="AG135" s="15">
        <v>3.0</v>
      </c>
      <c r="AH135" s="15">
        <v>3.0</v>
      </c>
      <c r="AI135" s="15">
        <v>2.0</v>
      </c>
      <c r="AJ135" s="15" t="s">
        <v>55</v>
      </c>
      <c r="AK135" s="15" t="s">
        <v>56</v>
      </c>
      <c r="AL135" s="15" t="s">
        <v>83</v>
      </c>
      <c r="AM135" s="15">
        <v>4.0</v>
      </c>
      <c r="AN135" s="15" t="s">
        <v>54</v>
      </c>
      <c r="AO135" s="15">
        <v>30.0</v>
      </c>
      <c r="AP135" s="15" t="s">
        <v>59</v>
      </c>
      <c r="AQ135" s="15" t="s">
        <v>60</v>
      </c>
      <c r="AR135" s="15" t="s">
        <v>140</v>
      </c>
      <c r="AS135" s="15" t="s">
        <v>93</v>
      </c>
      <c r="AT135" s="15" t="s">
        <v>292</v>
      </c>
    </row>
    <row r="136">
      <c r="A136" s="14">
        <v>45068.810684490745</v>
      </c>
      <c r="B136" s="15" t="s">
        <v>53</v>
      </c>
      <c r="C136" s="15" t="s">
        <v>53</v>
      </c>
      <c r="D136" s="15" t="s">
        <v>65</v>
      </c>
      <c r="T136" s="22">
        <v>4.0</v>
      </c>
      <c r="W136" s="15" t="s">
        <v>77</v>
      </c>
      <c r="X136" s="15" t="s">
        <v>53</v>
      </c>
      <c r="Y136" s="15">
        <v>5.0</v>
      </c>
      <c r="Z136" s="15">
        <v>2.0</v>
      </c>
      <c r="AA136" s="15">
        <v>2.0</v>
      </c>
      <c r="AB136" s="15">
        <v>3.0</v>
      </c>
      <c r="AC136" s="15">
        <v>4.0</v>
      </c>
      <c r="AD136" s="15">
        <v>4.0</v>
      </c>
      <c r="AE136" s="15">
        <v>2.0</v>
      </c>
      <c r="AF136" s="15">
        <v>4.0</v>
      </c>
      <c r="AG136" s="15">
        <v>3.0</v>
      </c>
      <c r="AH136" s="15">
        <v>3.0</v>
      </c>
      <c r="AI136" s="15">
        <v>3.0</v>
      </c>
      <c r="AJ136" s="15" t="s">
        <v>64</v>
      </c>
      <c r="AK136" s="15" t="s">
        <v>55</v>
      </c>
      <c r="AL136" s="15" t="s">
        <v>56</v>
      </c>
      <c r="AM136" s="15">
        <v>4.0</v>
      </c>
      <c r="AN136" s="15" t="s">
        <v>65</v>
      </c>
      <c r="AO136" s="15">
        <v>27.0</v>
      </c>
      <c r="AP136" s="15" t="s">
        <v>67</v>
      </c>
      <c r="AQ136" s="15" t="s">
        <v>60</v>
      </c>
      <c r="AR136" s="15" t="s">
        <v>61</v>
      </c>
      <c r="AS136" s="15" t="s">
        <v>78</v>
      </c>
      <c r="AT136" s="15" t="s">
        <v>293</v>
      </c>
    </row>
    <row r="137">
      <c r="A137" s="14">
        <v>45068.81120067129</v>
      </c>
      <c r="B137" s="15" t="s">
        <v>53</v>
      </c>
      <c r="C137" s="15" t="s">
        <v>53</v>
      </c>
      <c r="D137" s="15" t="s">
        <v>65</v>
      </c>
      <c r="T137" s="22">
        <v>4.0</v>
      </c>
      <c r="V137" s="15" t="s">
        <v>80</v>
      </c>
      <c r="X137" s="15" t="s">
        <v>53</v>
      </c>
      <c r="Y137" s="15">
        <v>2.0</v>
      </c>
      <c r="Z137" s="15">
        <v>4.0</v>
      </c>
      <c r="AA137" s="15">
        <v>4.0</v>
      </c>
      <c r="AB137" s="15">
        <v>5.0</v>
      </c>
      <c r="AC137" s="15">
        <v>2.0</v>
      </c>
      <c r="AD137" s="15">
        <v>4.0</v>
      </c>
      <c r="AE137" s="15">
        <v>3.0</v>
      </c>
      <c r="AF137" s="15">
        <v>4.0</v>
      </c>
      <c r="AG137" s="15">
        <v>4.0</v>
      </c>
      <c r="AH137" s="15">
        <v>4.0</v>
      </c>
      <c r="AI137" s="15">
        <v>4.0</v>
      </c>
      <c r="AJ137" s="15" t="s">
        <v>55</v>
      </c>
      <c r="AK137" s="15" t="s">
        <v>57</v>
      </c>
      <c r="AL137" s="15" t="s">
        <v>64</v>
      </c>
      <c r="AM137" s="15">
        <v>4.0</v>
      </c>
      <c r="AN137" s="15">
        <v>-3.0</v>
      </c>
      <c r="AO137" s="15">
        <v>22.0</v>
      </c>
      <c r="AP137" s="15" t="s">
        <v>67</v>
      </c>
      <c r="AQ137" s="15" t="s">
        <v>60</v>
      </c>
      <c r="AR137" s="15" t="s">
        <v>109</v>
      </c>
      <c r="AS137" s="15" t="s">
        <v>69</v>
      </c>
      <c r="AT137" s="15" t="s">
        <v>294</v>
      </c>
    </row>
    <row r="138">
      <c r="A138" s="14">
        <v>45068.8138047338</v>
      </c>
      <c r="B138" s="15" t="s">
        <v>53</v>
      </c>
      <c r="C138" s="15" t="s">
        <v>53</v>
      </c>
      <c r="D138" s="15" t="s">
        <v>104</v>
      </c>
      <c r="T138" s="22">
        <v>2.0</v>
      </c>
      <c r="W138" s="15" t="s">
        <v>77</v>
      </c>
      <c r="X138" s="15" t="s">
        <v>53</v>
      </c>
      <c r="Y138" s="15">
        <v>5.0</v>
      </c>
      <c r="Z138" s="15">
        <v>1.0</v>
      </c>
      <c r="AA138" s="15">
        <v>1.0</v>
      </c>
      <c r="AB138" s="15">
        <v>5.0</v>
      </c>
      <c r="AC138" s="15">
        <v>5.0</v>
      </c>
      <c r="AD138" s="15">
        <v>4.0</v>
      </c>
      <c r="AE138" s="15">
        <v>1.0</v>
      </c>
      <c r="AF138" s="15">
        <v>2.0</v>
      </c>
      <c r="AG138" s="15">
        <v>3.0</v>
      </c>
      <c r="AH138" s="15">
        <v>3.0</v>
      </c>
      <c r="AI138" s="15">
        <v>3.0</v>
      </c>
      <c r="AJ138" s="15" t="s">
        <v>86</v>
      </c>
      <c r="AK138" s="15" t="s">
        <v>64</v>
      </c>
      <c r="AL138" s="15" t="s">
        <v>92</v>
      </c>
      <c r="AM138" s="15">
        <v>2.0</v>
      </c>
      <c r="AN138" s="15" t="s">
        <v>104</v>
      </c>
      <c r="AO138" s="15">
        <v>21.0</v>
      </c>
      <c r="AP138" s="15" t="s">
        <v>67</v>
      </c>
      <c r="AQ138" s="15" t="s">
        <v>295</v>
      </c>
      <c r="AR138" s="15" t="s">
        <v>109</v>
      </c>
      <c r="AS138" s="15" t="s">
        <v>69</v>
      </c>
      <c r="AT138" s="15" t="s">
        <v>296</v>
      </c>
    </row>
    <row r="139">
      <c r="A139" s="14">
        <v>45068.81451940972</v>
      </c>
      <c r="B139" s="15" t="s">
        <v>53</v>
      </c>
      <c r="C139" s="15" t="s">
        <v>53</v>
      </c>
      <c r="D139" s="15">
        <v>-5.0</v>
      </c>
      <c r="E139" s="15" t="s">
        <v>53</v>
      </c>
      <c r="F139" s="15">
        <v>1.0</v>
      </c>
      <c r="G139" s="15">
        <v>5.0</v>
      </c>
      <c r="H139" s="15">
        <v>5.0</v>
      </c>
      <c r="I139" s="15">
        <v>5.0</v>
      </c>
      <c r="J139" s="15">
        <v>1.0</v>
      </c>
      <c r="K139" s="15">
        <v>5.0</v>
      </c>
      <c r="L139" s="15">
        <v>1.0</v>
      </c>
      <c r="M139" s="15">
        <v>5.0</v>
      </c>
      <c r="N139" s="15">
        <v>5.0</v>
      </c>
      <c r="O139" s="15">
        <v>5.0</v>
      </c>
      <c r="P139" s="15">
        <v>5.0</v>
      </c>
      <c r="Q139" s="15" t="s">
        <v>55</v>
      </c>
      <c r="R139" s="15" t="s">
        <v>56</v>
      </c>
      <c r="S139" s="15" t="s">
        <v>83</v>
      </c>
      <c r="T139" s="15">
        <v>5.0</v>
      </c>
      <c r="U139" s="15">
        <v>-5.0</v>
      </c>
      <c r="V139" s="15" t="s">
        <v>80</v>
      </c>
      <c r="AO139" s="15">
        <v>24.0</v>
      </c>
      <c r="AP139" s="15" t="s">
        <v>67</v>
      </c>
      <c r="AQ139" s="15" t="s">
        <v>297</v>
      </c>
      <c r="AR139" s="15" t="s">
        <v>61</v>
      </c>
      <c r="AS139" s="15" t="s">
        <v>298</v>
      </c>
      <c r="AT139" s="15" t="s">
        <v>299</v>
      </c>
      <c r="AU139" s="15" t="s">
        <v>300</v>
      </c>
    </row>
    <row r="140">
      <c r="A140" s="14">
        <v>45068.82163392361</v>
      </c>
      <c r="B140" s="15" t="s">
        <v>53</v>
      </c>
      <c r="C140" s="15" t="s">
        <v>53</v>
      </c>
      <c r="D140" s="15" t="s">
        <v>104</v>
      </c>
      <c r="T140" s="22">
        <v>3.0</v>
      </c>
      <c r="W140" s="15" t="s">
        <v>116</v>
      </c>
      <c r="X140" s="15" t="s">
        <v>53</v>
      </c>
      <c r="Y140" s="15">
        <v>5.0</v>
      </c>
      <c r="Z140" s="15">
        <v>3.0</v>
      </c>
      <c r="AA140" s="15">
        <v>3.0</v>
      </c>
      <c r="AB140" s="15">
        <v>4.0</v>
      </c>
      <c r="AC140" s="15">
        <v>5.0</v>
      </c>
      <c r="AD140" s="15">
        <v>2.0</v>
      </c>
      <c r="AE140" s="15">
        <v>3.0</v>
      </c>
      <c r="AF140" s="15">
        <v>3.0</v>
      </c>
      <c r="AG140" s="15">
        <v>3.0</v>
      </c>
      <c r="AH140" s="15">
        <v>3.0</v>
      </c>
      <c r="AI140" s="15">
        <v>3.0</v>
      </c>
      <c r="AJ140" s="15" t="s">
        <v>83</v>
      </c>
      <c r="AK140" s="15" t="s">
        <v>56</v>
      </c>
      <c r="AL140" s="15" t="s">
        <v>92</v>
      </c>
      <c r="AM140" s="15">
        <v>3.0</v>
      </c>
      <c r="AN140" s="15" t="s">
        <v>54</v>
      </c>
      <c r="AO140" s="15">
        <v>38.0</v>
      </c>
      <c r="AP140" s="15" t="s">
        <v>67</v>
      </c>
      <c r="AQ140" s="15" t="s">
        <v>60</v>
      </c>
      <c r="AR140" s="15" t="s">
        <v>109</v>
      </c>
      <c r="AS140" s="15" t="s">
        <v>93</v>
      </c>
      <c r="AT140" s="15" t="s">
        <v>301</v>
      </c>
      <c r="AU140" s="15" t="s">
        <v>302</v>
      </c>
    </row>
    <row r="141">
      <c r="A141" s="14">
        <v>45068.82218346065</v>
      </c>
      <c r="B141" s="15" t="s">
        <v>53</v>
      </c>
      <c r="C141" s="15" t="s">
        <v>53</v>
      </c>
      <c r="D141" s="15" t="s">
        <v>104</v>
      </c>
      <c r="T141" s="22">
        <v>4.0</v>
      </c>
      <c r="W141" s="15" t="s">
        <v>77</v>
      </c>
      <c r="X141" s="15" t="s">
        <v>53</v>
      </c>
      <c r="Y141" s="15">
        <v>3.0</v>
      </c>
      <c r="Z141" s="15">
        <v>4.0</v>
      </c>
      <c r="AA141" s="15">
        <v>5.0</v>
      </c>
      <c r="AB141" s="15">
        <v>5.0</v>
      </c>
      <c r="AC141" s="15">
        <v>2.0</v>
      </c>
      <c r="AD141" s="15">
        <v>5.0</v>
      </c>
      <c r="AE141" s="15">
        <v>1.0</v>
      </c>
      <c r="AF141" s="15">
        <v>5.0</v>
      </c>
      <c r="AG141" s="15">
        <v>5.0</v>
      </c>
      <c r="AH141" s="15">
        <v>5.0</v>
      </c>
      <c r="AI141" s="15">
        <v>5.0</v>
      </c>
      <c r="AJ141" s="15" t="s">
        <v>55</v>
      </c>
      <c r="AK141" s="15" t="s">
        <v>92</v>
      </c>
      <c r="AL141" s="15" t="s">
        <v>57</v>
      </c>
      <c r="AM141" s="15">
        <v>4.0</v>
      </c>
      <c r="AN141" s="15" t="s">
        <v>65</v>
      </c>
      <c r="AO141" s="15">
        <v>20.0</v>
      </c>
      <c r="AP141" s="15" t="s">
        <v>67</v>
      </c>
      <c r="AQ141" s="15" t="s">
        <v>122</v>
      </c>
      <c r="AR141" s="15" t="s">
        <v>61</v>
      </c>
      <c r="AS141" s="15" t="s">
        <v>78</v>
      </c>
      <c r="AT141" s="15" t="s">
        <v>303</v>
      </c>
    </row>
    <row r="142">
      <c r="A142" s="14">
        <v>45068.82361208333</v>
      </c>
      <c r="B142" s="15" t="s">
        <v>53</v>
      </c>
      <c r="C142" s="15" t="s">
        <v>53</v>
      </c>
      <c r="D142" s="15" t="s">
        <v>104</v>
      </c>
      <c r="T142" s="22">
        <v>4.0</v>
      </c>
      <c r="V142" s="15" t="s">
        <v>80</v>
      </c>
      <c r="X142" s="15" t="s">
        <v>53</v>
      </c>
      <c r="Y142" s="15">
        <v>4.0</v>
      </c>
      <c r="Z142" s="15">
        <v>2.0</v>
      </c>
      <c r="AA142" s="15">
        <v>3.0</v>
      </c>
      <c r="AB142" s="15">
        <v>5.0</v>
      </c>
      <c r="AC142" s="15">
        <v>3.0</v>
      </c>
      <c r="AD142" s="15">
        <v>5.0</v>
      </c>
      <c r="AE142" s="15">
        <v>1.0</v>
      </c>
      <c r="AF142" s="15">
        <v>5.0</v>
      </c>
      <c r="AG142" s="15">
        <v>5.0</v>
      </c>
      <c r="AH142" s="15">
        <v>5.0</v>
      </c>
      <c r="AI142" s="15">
        <v>5.0</v>
      </c>
      <c r="AJ142" s="15" t="s">
        <v>55</v>
      </c>
      <c r="AK142" s="15" t="s">
        <v>56</v>
      </c>
      <c r="AL142" s="15" t="s">
        <v>64</v>
      </c>
      <c r="AM142" s="15">
        <v>4.0</v>
      </c>
      <c r="AN142" s="15">
        <v>-2.0</v>
      </c>
      <c r="AO142" s="15">
        <v>20.0</v>
      </c>
      <c r="AP142" s="15" t="s">
        <v>67</v>
      </c>
      <c r="AQ142" s="15" t="s">
        <v>98</v>
      </c>
      <c r="AR142" s="15" t="s">
        <v>109</v>
      </c>
      <c r="AS142" s="15" t="s">
        <v>93</v>
      </c>
      <c r="AT142" s="15" t="s">
        <v>304</v>
      </c>
    </row>
    <row r="143">
      <c r="A143" s="14">
        <v>45068.82768876158</v>
      </c>
      <c r="B143" s="15" t="s">
        <v>53</v>
      </c>
      <c r="C143" s="15" t="s">
        <v>53</v>
      </c>
      <c r="D143" s="15" t="s">
        <v>72</v>
      </c>
      <c r="T143" s="22">
        <v>3.0</v>
      </c>
      <c r="W143" s="15" t="s">
        <v>108</v>
      </c>
      <c r="X143" s="15" t="s">
        <v>53</v>
      </c>
      <c r="Y143" s="15">
        <v>5.0</v>
      </c>
      <c r="Z143" s="15">
        <v>1.0</v>
      </c>
      <c r="AA143" s="15">
        <v>1.0</v>
      </c>
      <c r="AB143" s="15">
        <v>5.0</v>
      </c>
      <c r="AC143" s="15">
        <v>3.0</v>
      </c>
      <c r="AD143" s="15">
        <v>1.0</v>
      </c>
      <c r="AE143" s="15">
        <v>1.0</v>
      </c>
      <c r="AF143" s="15">
        <v>1.0</v>
      </c>
      <c r="AG143" s="15">
        <v>1.0</v>
      </c>
      <c r="AH143" s="15">
        <v>1.0</v>
      </c>
      <c r="AI143" s="15">
        <v>1.0</v>
      </c>
      <c r="AJ143" s="15" t="s">
        <v>55</v>
      </c>
      <c r="AK143" s="15" t="s">
        <v>64</v>
      </c>
      <c r="AL143" s="15" t="s">
        <v>56</v>
      </c>
      <c r="AM143" s="15">
        <v>3.0</v>
      </c>
      <c r="AN143" s="15" t="s">
        <v>72</v>
      </c>
      <c r="AO143" s="15">
        <v>19.0</v>
      </c>
      <c r="AP143" s="15" t="s">
        <v>59</v>
      </c>
      <c r="AQ143" s="15" t="s">
        <v>305</v>
      </c>
      <c r="AR143" s="15" t="s">
        <v>109</v>
      </c>
      <c r="AS143" s="15" t="s">
        <v>306</v>
      </c>
      <c r="AT143" s="15" t="s">
        <v>307</v>
      </c>
      <c r="AU143" s="15" t="s">
        <v>308</v>
      </c>
    </row>
    <row r="144">
      <c r="A144" s="14">
        <v>45068.83472056713</v>
      </c>
      <c r="B144" s="15" t="s">
        <v>53</v>
      </c>
      <c r="C144" s="15" t="s">
        <v>53</v>
      </c>
      <c r="D144" s="15" t="s">
        <v>65</v>
      </c>
      <c r="T144" s="22">
        <v>3.0</v>
      </c>
      <c r="W144" s="15" t="s">
        <v>73</v>
      </c>
      <c r="X144" s="15" t="s">
        <v>53</v>
      </c>
      <c r="Y144" s="15">
        <v>5.0</v>
      </c>
      <c r="Z144" s="15">
        <v>1.0</v>
      </c>
      <c r="AA144" s="15">
        <v>2.0</v>
      </c>
      <c r="AB144" s="15">
        <v>4.0</v>
      </c>
      <c r="AC144" s="15">
        <v>3.0</v>
      </c>
      <c r="AD144" s="15">
        <v>4.0</v>
      </c>
      <c r="AE144" s="15">
        <v>2.0</v>
      </c>
      <c r="AF144" s="15">
        <v>4.0</v>
      </c>
      <c r="AG144" s="15">
        <v>2.0</v>
      </c>
      <c r="AH144" s="15">
        <v>2.0</v>
      </c>
      <c r="AI144" s="15">
        <v>2.0</v>
      </c>
      <c r="AJ144" s="15" t="s">
        <v>64</v>
      </c>
      <c r="AK144" s="15" t="s">
        <v>57</v>
      </c>
      <c r="AL144" s="15" t="s">
        <v>83</v>
      </c>
      <c r="AM144" s="15">
        <v>3.0</v>
      </c>
      <c r="AN144" s="15" t="s">
        <v>72</v>
      </c>
      <c r="AO144" s="15">
        <v>16.0</v>
      </c>
      <c r="AP144" s="15" t="s">
        <v>67</v>
      </c>
      <c r="AQ144" s="15" t="s">
        <v>60</v>
      </c>
      <c r="AR144" s="15" t="s">
        <v>109</v>
      </c>
      <c r="AS144" s="15" t="s">
        <v>309</v>
      </c>
      <c r="AT144" s="15" t="s">
        <v>310</v>
      </c>
      <c r="AU144" s="15" t="s">
        <v>129</v>
      </c>
    </row>
    <row r="145">
      <c r="A145" s="14">
        <v>45068.8426887963</v>
      </c>
      <c r="B145" s="15" t="s">
        <v>53</v>
      </c>
      <c r="C145" s="15" t="s">
        <v>53</v>
      </c>
      <c r="D145" s="15" t="s">
        <v>65</v>
      </c>
      <c r="T145" s="22">
        <v>4.0</v>
      </c>
      <c r="V145" s="15" t="s">
        <v>185</v>
      </c>
      <c r="X145" s="15" t="s">
        <v>53</v>
      </c>
      <c r="Y145" s="15">
        <v>4.0</v>
      </c>
      <c r="Z145" s="15">
        <v>2.0</v>
      </c>
      <c r="AA145" s="15">
        <v>2.0</v>
      </c>
      <c r="AB145" s="15">
        <v>2.0</v>
      </c>
      <c r="AC145" s="15">
        <v>3.0</v>
      </c>
      <c r="AD145" s="15">
        <v>3.0</v>
      </c>
      <c r="AE145" s="15">
        <v>2.0</v>
      </c>
      <c r="AF145" s="15">
        <v>2.0</v>
      </c>
      <c r="AG145" s="15">
        <v>2.0</v>
      </c>
      <c r="AH145" s="15">
        <v>2.0</v>
      </c>
      <c r="AI145" s="15">
        <v>3.0</v>
      </c>
      <c r="AJ145" s="15" t="s">
        <v>92</v>
      </c>
      <c r="AK145" s="15" t="s">
        <v>57</v>
      </c>
      <c r="AL145" s="15" t="s">
        <v>64</v>
      </c>
      <c r="AM145" s="15">
        <v>4.0</v>
      </c>
      <c r="AN145" s="15">
        <v>-1.0</v>
      </c>
      <c r="AO145" s="15">
        <v>25.0</v>
      </c>
      <c r="AP145" s="15" t="s">
        <v>67</v>
      </c>
      <c r="AQ145" s="15" t="s">
        <v>60</v>
      </c>
      <c r="AR145" s="15" t="s">
        <v>140</v>
      </c>
      <c r="AS145" s="15" t="s">
        <v>69</v>
      </c>
      <c r="AT145" s="15" t="s">
        <v>311</v>
      </c>
    </row>
    <row r="146">
      <c r="A146" s="14">
        <v>45068.843798842594</v>
      </c>
      <c r="B146" s="15" t="s">
        <v>53</v>
      </c>
      <c r="C146" s="15" t="s">
        <v>53</v>
      </c>
      <c r="D146" s="15" t="s">
        <v>104</v>
      </c>
      <c r="T146" s="22">
        <v>3.0</v>
      </c>
      <c r="W146" s="15" t="s">
        <v>73</v>
      </c>
      <c r="X146" s="15" t="s">
        <v>53</v>
      </c>
      <c r="Y146" s="15">
        <v>5.0</v>
      </c>
      <c r="Z146" s="15">
        <v>2.0</v>
      </c>
      <c r="AA146" s="15">
        <v>2.0</v>
      </c>
      <c r="AB146" s="15">
        <v>3.0</v>
      </c>
      <c r="AC146" s="15">
        <v>3.0</v>
      </c>
      <c r="AD146" s="15">
        <v>5.0</v>
      </c>
      <c r="AE146" s="15">
        <v>2.0</v>
      </c>
      <c r="AF146" s="15">
        <v>3.0</v>
      </c>
      <c r="AG146" s="15">
        <v>3.0</v>
      </c>
      <c r="AH146" s="15">
        <v>3.0</v>
      </c>
      <c r="AI146" s="15">
        <v>3.0</v>
      </c>
      <c r="AJ146" s="15" t="s">
        <v>55</v>
      </c>
      <c r="AK146" s="15" t="s">
        <v>64</v>
      </c>
      <c r="AL146" s="15" t="s">
        <v>57</v>
      </c>
      <c r="AM146" s="15">
        <v>3.0</v>
      </c>
      <c r="AN146" s="15" t="s">
        <v>85</v>
      </c>
      <c r="AO146" s="15">
        <v>22.0</v>
      </c>
      <c r="AP146" s="15" t="s">
        <v>67</v>
      </c>
      <c r="AQ146" s="15" t="s">
        <v>60</v>
      </c>
      <c r="AR146" s="15" t="s">
        <v>61</v>
      </c>
      <c r="AS146" s="15" t="s">
        <v>69</v>
      </c>
      <c r="AT146" s="15" t="s">
        <v>312</v>
      </c>
    </row>
    <row r="147">
      <c r="A147" s="14">
        <v>45068.85026335648</v>
      </c>
      <c r="B147" s="15" t="s">
        <v>53</v>
      </c>
      <c r="C147" s="15" t="s">
        <v>53</v>
      </c>
      <c r="D147" s="15" t="s">
        <v>85</v>
      </c>
      <c r="T147" s="22">
        <v>4.0</v>
      </c>
      <c r="V147" s="15" t="s">
        <v>80</v>
      </c>
      <c r="X147" s="15" t="s">
        <v>53</v>
      </c>
      <c r="Y147" s="15">
        <v>5.0</v>
      </c>
      <c r="Z147" s="15">
        <v>3.0</v>
      </c>
      <c r="AA147" s="15">
        <v>3.0</v>
      </c>
      <c r="AB147" s="15">
        <v>4.0</v>
      </c>
      <c r="AC147" s="15">
        <v>4.0</v>
      </c>
      <c r="AD147" s="15">
        <v>4.0</v>
      </c>
      <c r="AE147" s="15">
        <v>2.0</v>
      </c>
      <c r="AF147" s="15">
        <v>4.0</v>
      </c>
      <c r="AG147" s="15">
        <v>4.0</v>
      </c>
      <c r="AH147" s="15">
        <v>4.0</v>
      </c>
      <c r="AI147" s="15">
        <v>4.0</v>
      </c>
      <c r="AJ147" s="15" t="s">
        <v>55</v>
      </c>
      <c r="AK147" s="15" t="s">
        <v>92</v>
      </c>
      <c r="AL147" s="15" t="s">
        <v>64</v>
      </c>
      <c r="AM147" s="15">
        <v>4.0</v>
      </c>
      <c r="AN147" s="15">
        <v>-1.0</v>
      </c>
      <c r="AO147" s="15">
        <v>22.0</v>
      </c>
      <c r="AP147" s="15" t="s">
        <v>67</v>
      </c>
      <c r="AQ147" s="15" t="s">
        <v>60</v>
      </c>
      <c r="AR147" s="15" t="s">
        <v>61</v>
      </c>
      <c r="AS147" s="15" t="s">
        <v>81</v>
      </c>
      <c r="AT147" s="15" t="s">
        <v>313</v>
      </c>
    </row>
    <row r="148">
      <c r="A148" s="14">
        <v>45068.85572148148</v>
      </c>
      <c r="B148" s="15" t="s">
        <v>53</v>
      </c>
      <c r="C148" s="15" t="s">
        <v>53</v>
      </c>
      <c r="D148" s="15" t="s">
        <v>65</v>
      </c>
      <c r="T148" s="22">
        <v>3.0</v>
      </c>
      <c r="V148" s="15" t="s">
        <v>58</v>
      </c>
      <c r="X148" s="15" t="s">
        <v>53</v>
      </c>
      <c r="Y148" s="15">
        <v>5.0</v>
      </c>
      <c r="Z148" s="15">
        <v>1.0</v>
      </c>
      <c r="AA148" s="15">
        <v>1.0</v>
      </c>
      <c r="AB148" s="15">
        <v>3.0</v>
      </c>
      <c r="AC148" s="15">
        <v>5.0</v>
      </c>
      <c r="AD148" s="15">
        <v>2.0</v>
      </c>
      <c r="AE148" s="15">
        <v>3.0</v>
      </c>
      <c r="AF148" s="15">
        <v>1.0</v>
      </c>
      <c r="AG148" s="15">
        <v>1.0</v>
      </c>
      <c r="AH148" s="15">
        <v>2.0</v>
      </c>
      <c r="AI148" s="15">
        <v>2.0</v>
      </c>
      <c r="AJ148" s="15" t="s">
        <v>55</v>
      </c>
      <c r="AK148" s="15" t="s">
        <v>64</v>
      </c>
      <c r="AL148" s="15" t="s">
        <v>56</v>
      </c>
      <c r="AM148" s="15">
        <v>3.0</v>
      </c>
      <c r="AN148" s="15">
        <v>-2.0</v>
      </c>
      <c r="AO148" s="15">
        <v>38.0</v>
      </c>
      <c r="AP148" s="15" t="s">
        <v>67</v>
      </c>
      <c r="AQ148" s="15" t="s">
        <v>60</v>
      </c>
      <c r="AR148" s="15" t="s">
        <v>61</v>
      </c>
      <c r="AS148" s="15" t="s">
        <v>105</v>
      </c>
      <c r="AT148" s="15" t="s">
        <v>314</v>
      </c>
      <c r="AU148" s="15" t="s">
        <v>315</v>
      </c>
    </row>
    <row r="149">
      <c r="A149" s="14">
        <v>45068.86332548611</v>
      </c>
      <c r="B149" s="15" t="s">
        <v>53</v>
      </c>
      <c r="C149" s="15" t="s">
        <v>53</v>
      </c>
      <c r="D149" s="15" t="s">
        <v>65</v>
      </c>
      <c r="T149" s="22">
        <v>4.0</v>
      </c>
      <c r="W149" s="15" t="s">
        <v>113</v>
      </c>
      <c r="X149" s="15" t="s">
        <v>53</v>
      </c>
      <c r="Y149" s="15">
        <v>4.0</v>
      </c>
      <c r="Z149" s="15">
        <v>2.0</v>
      </c>
      <c r="AA149" s="15">
        <v>3.0</v>
      </c>
      <c r="AB149" s="15">
        <v>4.0</v>
      </c>
      <c r="AC149" s="15">
        <v>4.0</v>
      </c>
      <c r="AD149" s="15">
        <v>4.0</v>
      </c>
      <c r="AE149" s="15">
        <v>2.0</v>
      </c>
      <c r="AF149" s="15">
        <v>3.0</v>
      </c>
      <c r="AG149" s="15">
        <v>3.0</v>
      </c>
      <c r="AH149" s="15">
        <v>2.0</v>
      </c>
      <c r="AI149" s="15">
        <v>3.0</v>
      </c>
      <c r="AJ149" s="15" t="s">
        <v>55</v>
      </c>
      <c r="AK149" s="15" t="s">
        <v>86</v>
      </c>
      <c r="AL149" s="15" t="s">
        <v>83</v>
      </c>
      <c r="AM149" s="15">
        <v>4.0</v>
      </c>
      <c r="AN149" s="15" t="s">
        <v>85</v>
      </c>
      <c r="AO149" s="15">
        <v>24.0</v>
      </c>
      <c r="AP149" s="15" t="s">
        <v>67</v>
      </c>
      <c r="AQ149" s="15" t="s">
        <v>60</v>
      </c>
      <c r="AR149" s="15" t="s">
        <v>140</v>
      </c>
      <c r="AS149" s="15" t="s">
        <v>69</v>
      </c>
      <c r="AT149" s="15" t="s">
        <v>316</v>
      </c>
    </row>
    <row r="150">
      <c r="A150" s="14">
        <v>45068.866631365745</v>
      </c>
      <c r="B150" s="15" t="s">
        <v>53</v>
      </c>
      <c r="C150" s="15" t="s">
        <v>53</v>
      </c>
      <c r="D150" s="15" t="s">
        <v>85</v>
      </c>
      <c r="T150" s="22">
        <v>5.0</v>
      </c>
      <c r="V150" s="15" t="s">
        <v>58</v>
      </c>
      <c r="X150" s="15" t="s">
        <v>53</v>
      </c>
      <c r="Y150" s="15">
        <v>4.0</v>
      </c>
      <c r="Z150" s="15">
        <v>5.0</v>
      </c>
      <c r="AA150" s="15">
        <v>2.0</v>
      </c>
      <c r="AB150" s="15">
        <v>5.0</v>
      </c>
      <c r="AC150" s="15">
        <v>5.0</v>
      </c>
      <c r="AD150" s="15">
        <v>4.0</v>
      </c>
      <c r="AE150" s="15">
        <v>1.0</v>
      </c>
      <c r="AF150" s="15">
        <v>5.0</v>
      </c>
      <c r="AG150" s="15">
        <v>4.0</v>
      </c>
      <c r="AH150" s="15">
        <v>5.0</v>
      </c>
      <c r="AI150" s="15">
        <v>4.0</v>
      </c>
      <c r="AJ150" s="15" t="s">
        <v>55</v>
      </c>
      <c r="AK150" s="15" t="s">
        <v>64</v>
      </c>
      <c r="AL150" s="15" t="s">
        <v>83</v>
      </c>
      <c r="AM150" s="15">
        <v>5.0</v>
      </c>
      <c r="AN150" s="15">
        <v>-2.0</v>
      </c>
      <c r="AO150" s="15">
        <v>32.0</v>
      </c>
      <c r="AP150" s="15" t="s">
        <v>59</v>
      </c>
      <c r="AQ150" s="15" t="s">
        <v>98</v>
      </c>
      <c r="AR150" s="15" t="s">
        <v>61</v>
      </c>
      <c r="AS150" s="15" t="s">
        <v>125</v>
      </c>
      <c r="AT150" s="15" t="s">
        <v>317</v>
      </c>
    </row>
    <row r="151">
      <c r="A151" s="14">
        <v>45068.8812688426</v>
      </c>
      <c r="B151" s="15" t="s">
        <v>53</v>
      </c>
      <c r="C151" s="15" t="s">
        <v>53</v>
      </c>
      <c r="D151" s="15" t="s">
        <v>54</v>
      </c>
      <c r="T151" s="22">
        <v>2.0</v>
      </c>
      <c r="W151" s="15" t="s">
        <v>73</v>
      </c>
      <c r="X151" s="15" t="s">
        <v>53</v>
      </c>
      <c r="Y151" s="15">
        <v>4.0</v>
      </c>
      <c r="Z151" s="15">
        <v>2.0</v>
      </c>
      <c r="AA151" s="15">
        <v>2.0</v>
      </c>
      <c r="AB151" s="15">
        <v>4.0</v>
      </c>
      <c r="AC151" s="15">
        <v>4.0</v>
      </c>
      <c r="AD151" s="15">
        <v>3.0</v>
      </c>
      <c r="AE151" s="15">
        <v>3.0</v>
      </c>
      <c r="AF151" s="15">
        <v>3.0</v>
      </c>
      <c r="AG151" s="15">
        <v>3.0</v>
      </c>
      <c r="AH151" s="15">
        <v>3.0</v>
      </c>
      <c r="AI151" s="15">
        <v>3.0</v>
      </c>
      <c r="AJ151" s="15" t="s">
        <v>92</v>
      </c>
      <c r="AK151" s="15" t="s">
        <v>64</v>
      </c>
      <c r="AL151" s="15" t="s">
        <v>55</v>
      </c>
      <c r="AM151" s="15">
        <v>2.0</v>
      </c>
      <c r="AN151" s="15" t="s">
        <v>65</v>
      </c>
      <c r="AO151" s="15">
        <v>43.0</v>
      </c>
      <c r="AP151" s="15" t="s">
        <v>59</v>
      </c>
      <c r="AQ151" s="15" t="s">
        <v>60</v>
      </c>
      <c r="AR151" s="15" t="s">
        <v>61</v>
      </c>
      <c r="AS151" s="15" t="s">
        <v>225</v>
      </c>
      <c r="AT151" s="15" t="s">
        <v>318</v>
      </c>
    </row>
    <row r="152">
      <c r="A152" s="14">
        <v>45068.88163780092</v>
      </c>
      <c r="B152" s="15" t="s">
        <v>53</v>
      </c>
      <c r="C152" s="15" t="s">
        <v>53</v>
      </c>
      <c r="D152" s="15" t="s">
        <v>85</v>
      </c>
      <c r="T152" s="22">
        <v>2.0</v>
      </c>
      <c r="W152" s="15" t="s">
        <v>113</v>
      </c>
      <c r="X152" s="15" t="s">
        <v>53</v>
      </c>
      <c r="Y152" s="15">
        <v>5.0</v>
      </c>
      <c r="Z152" s="15">
        <v>1.0</v>
      </c>
      <c r="AA152" s="15">
        <v>1.0</v>
      </c>
      <c r="AB152" s="15">
        <v>3.0</v>
      </c>
      <c r="AC152" s="15">
        <v>4.0</v>
      </c>
      <c r="AD152" s="15">
        <v>2.0</v>
      </c>
      <c r="AE152" s="15">
        <v>2.0</v>
      </c>
      <c r="AF152" s="15">
        <v>4.0</v>
      </c>
      <c r="AG152" s="15">
        <v>3.0</v>
      </c>
      <c r="AH152" s="15">
        <v>2.0</v>
      </c>
      <c r="AI152" s="15">
        <v>3.0</v>
      </c>
      <c r="AJ152" s="15" t="s">
        <v>64</v>
      </c>
      <c r="AK152" s="15" t="s">
        <v>86</v>
      </c>
      <c r="AL152" s="15" t="s">
        <v>57</v>
      </c>
      <c r="AM152" s="15">
        <v>2.0</v>
      </c>
      <c r="AN152" s="15" t="s">
        <v>54</v>
      </c>
      <c r="AO152" s="15">
        <v>36.0</v>
      </c>
      <c r="AP152" s="15" t="s">
        <v>67</v>
      </c>
      <c r="AQ152" s="15" t="s">
        <v>120</v>
      </c>
      <c r="AR152" s="15" t="s">
        <v>140</v>
      </c>
      <c r="AS152" s="15" t="s">
        <v>110</v>
      </c>
      <c r="AT152" s="15" t="s">
        <v>319</v>
      </c>
      <c r="AU152" s="15" t="s">
        <v>320</v>
      </c>
    </row>
    <row r="153">
      <c r="A153" s="14">
        <v>45068.88716751157</v>
      </c>
      <c r="B153" s="15" t="s">
        <v>53</v>
      </c>
      <c r="C153" s="15" t="s">
        <v>53</v>
      </c>
      <c r="D153" s="15">
        <v>-4.0</v>
      </c>
      <c r="E153" s="15" t="s">
        <v>53</v>
      </c>
      <c r="F153" s="15">
        <v>3.0</v>
      </c>
      <c r="G153" s="15">
        <v>3.0</v>
      </c>
      <c r="H153" s="15">
        <v>3.0</v>
      </c>
      <c r="I153" s="15">
        <v>5.0</v>
      </c>
      <c r="J153" s="15">
        <v>2.0</v>
      </c>
      <c r="K153" s="15">
        <v>4.0</v>
      </c>
      <c r="L153" s="15">
        <v>1.0</v>
      </c>
      <c r="M153" s="15">
        <v>3.0</v>
      </c>
      <c r="N153" s="15">
        <v>3.0</v>
      </c>
      <c r="O153" s="15">
        <v>3.0</v>
      </c>
      <c r="P153" s="15">
        <v>3.0</v>
      </c>
      <c r="Q153" s="15" t="s">
        <v>55</v>
      </c>
      <c r="R153" s="15" t="s">
        <v>57</v>
      </c>
      <c r="S153" s="15" t="s">
        <v>86</v>
      </c>
      <c r="T153" s="15">
        <v>5.0</v>
      </c>
      <c r="U153" s="15">
        <v>-2.0</v>
      </c>
      <c r="V153" s="15" t="s">
        <v>80</v>
      </c>
      <c r="AO153" s="15">
        <v>21.0</v>
      </c>
      <c r="AP153" s="15" t="s">
        <v>67</v>
      </c>
      <c r="AQ153" s="15" t="s">
        <v>60</v>
      </c>
      <c r="AR153" s="15" t="s">
        <v>61</v>
      </c>
      <c r="AS153" s="15" t="s">
        <v>78</v>
      </c>
      <c r="AT153" s="15" t="s">
        <v>321</v>
      </c>
    </row>
    <row r="154">
      <c r="A154" s="14">
        <v>45068.88832943287</v>
      </c>
      <c r="B154" s="15" t="s">
        <v>53</v>
      </c>
      <c r="C154" s="15" t="s">
        <v>53</v>
      </c>
      <c r="D154" s="15" t="s">
        <v>65</v>
      </c>
      <c r="T154" s="22">
        <v>4.0</v>
      </c>
      <c r="V154" s="15" t="s">
        <v>58</v>
      </c>
      <c r="X154" s="15" t="s">
        <v>53</v>
      </c>
      <c r="Y154" s="15">
        <v>4.0</v>
      </c>
      <c r="Z154" s="15">
        <v>2.0</v>
      </c>
      <c r="AA154" s="15">
        <v>3.0</v>
      </c>
      <c r="AB154" s="15">
        <v>5.0</v>
      </c>
      <c r="AC154" s="15">
        <v>3.0</v>
      </c>
      <c r="AD154" s="15">
        <v>5.0</v>
      </c>
      <c r="AE154" s="15">
        <v>1.0</v>
      </c>
      <c r="AF154" s="15">
        <v>3.0</v>
      </c>
      <c r="AG154" s="15">
        <v>4.0</v>
      </c>
      <c r="AH154" s="15">
        <v>4.0</v>
      </c>
      <c r="AI154" s="15">
        <v>4.0</v>
      </c>
      <c r="AJ154" s="15" t="s">
        <v>55</v>
      </c>
      <c r="AK154" s="15" t="s">
        <v>83</v>
      </c>
      <c r="AL154" s="15" t="s">
        <v>57</v>
      </c>
      <c r="AM154" s="15">
        <v>4.0</v>
      </c>
      <c r="AN154" s="15">
        <v>-2.0</v>
      </c>
      <c r="AO154" s="15">
        <v>19.0</v>
      </c>
      <c r="AP154" s="15" t="s">
        <v>67</v>
      </c>
      <c r="AQ154" s="15" t="s">
        <v>60</v>
      </c>
      <c r="AR154" s="15" t="s">
        <v>61</v>
      </c>
      <c r="AS154" s="15" t="s">
        <v>78</v>
      </c>
      <c r="AT154" s="15" t="s">
        <v>322</v>
      </c>
    </row>
    <row r="155">
      <c r="A155" s="14">
        <v>45068.89018288194</v>
      </c>
      <c r="B155" s="15" t="s">
        <v>53</v>
      </c>
      <c r="C155" s="15" t="s">
        <v>53</v>
      </c>
      <c r="D155" s="15" t="s">
        <v>104</v>
      </c>
      <c r="T155" s="22">
        <v>3.0</v>
      </c>
      <c r="W155" s="15" t="s">
        <v>66</v>
      </c>
      <c r="X155" s="15" t="s">
        <v>53</v>
      </c>
      <c r="Y155" s="15">
        <v>2.0</v>
      </c>
      <c r="Z155" s="15">
        <v>4.0</v>
      </c>
      <c r="AA155" s="15">
        <v>4.0</v>
      </c>
      <c r="AB155" s="15">
        <v>2.0</v>
      </c>
      <c r="AC155" s="15">
        <v>2.0</v>
      </c>
      <c r="AD155" s="15">
        <v>5.0</v>
      </c>
      <c r="AE155" s="15">
        <v>2.0</v>
      </c>
      <c r="AF155" s="15">
        <v>4.0</v>
      </c>
      <c r="AG155" s="15">
        <v>4.0</v>
      </c>
      <c r="AH155" s="15">
        <v>4.0</v>
      </c>
      <c r="AI155" s="15">
        <v>4.0</v>
      </c>
      <c r="AJ155" s="15" t="s">
        <v>55</v>
      </c>
      <c r="AK155" s="15" t="s">
        <v>64</v>
      </c>
      <c r="AL155" s="15" t="s">
        <v>56</v>
      </c>
      <c r="AM155" s="15">
        <v>3.0</v>
      </c>
      <c r="AN155" s="15" t="s">
        <v>72</v>
      </c>
      <c r="AO155" s="15">
        <v>19.0</v>
      </c>
      <c r="AP155" s="15" t="s">
        <v>59</v>
      </c>
      <c r="AQ155" s="15" t="s">
        <v>154</v>
      </c>
      <c r="AR155" s="15" t="s">
        <v>61</v>
      </c>
      <c r="AS155" s="15" t="s">
        <v>69</v>
      </c>
      <c r="AT155" s="15" t="s">
        <v>323</v>
      </c>
      <c r="AU155" s="15" t="s">
        <v>308</v>
      </c>
    </row>
    <row r="156">
      <c r="A156" s="14">
        <v>45068.89090416666</v>
      </c>
      <c r="B156" s="15" t="s">
        <v>53</v>
      </c>
      <c r="C156" s="15" t="s">
        <v>53</v>
      </c>
      <c r="D156" s="15">
        <v>-2.0</v>
      </c>
      <c r="E156" s="15" t="s">
        <v>53</v>
      </c>
      <c r="F156" s="15">
        <v>4.0</v>
      </c>
      <c r="G156" s="15">
        <v>3.0</v>
      </c>
      <c r="H156" s="15">
        <v>2.0</v>
      </c>
      <c r="I156" s="15">
        <v>4.0</v>
      </c>
      <c r="J156" s="15">
        <v>4.0</v>
      </c>
      <c r="K156" s="15">
        <v>3.0</v>
      </c>
      <c r="L156" s="15">
        <v>1.0</v>
      </c>
      <c r="M156" s="15">
        <v>3.0</v>
      </c>
      <c r="N156" s="15">
        <v>3.0</v>
      </c>
      <c r="O156" s="15">
        <v>3.0</v>
      </c>
      <c r="P156" s="15">
        <v>3.0</v>
      </c>
      <c r="Q156" s="15" t="s">
        <v>55</v>
      </c>
      <c r="R156" s="15" t="s">
        <v>57</v>
      </c>
      <c r="S156" s="15" t="s">
        <v>86</v>
      </c>
      <c r="T156" s="15">
        <v>4.0</v>
      </c>
      <c r="U156" s="15" t="s">
        <v>65</v>
      </c>
      <c r="W156" s="15" t="s">
        <v>77</v>
      </c>
      <c r="AO156" s="15">
        <v>19.0</v>
      </c>
      <c r="AP156" s="15" t="s">
        <v>67</v>
      </c>
      <c r="AQ156" s="15" t="s">
        <v>68</v>
      </c>
      <c r="AR156" s="15" t="s">
        <v>61</v>
      </c>
      <c r="AS156" s="15" t="s">
        <v>193</v>
      </c>
      <c r="AT156" s="15" t="s">
        <v>324</v>
      </c>
    </row>
    <row r="157">
      <c r="A157" s="14">
        <v>45068.893079016205</v>
      </c>
      <c r="B157" s="15" t="s">
        <v>53</v>
      </c>
      <c r="C157" s="15" t="s">
        <v>53</v>
      </c>
      <c r="D157" s="15">
        <v>-5.0</v>
      </c>
      <c r="E157" s="15" t="s">
        <v>53</v>
      </c>
      <c r="F157" s="15">
        <v>1.0</v>
      </c>
      <c r="G157" s="15">
        <v>5.0</v>
      </c>
      <c r="H157" s="15">
        <v>5.0</v>
      </c>
      <c r="I157" s="15">
        <v>5.0</v>
      </c>
      <c r="J157" s="15">
        <v>2.0</v>
      </c>
      <c r="K157" s="15">
        <v>3.0</v>
      </c>
      <c r="L157" s="15">
        <v>3.0</v>
      </c>
      <c r="M157" s="15">
        <v>3.0</v>
      </c>
      <c r="N157" s="15">
        <v>3.0</v>
      </c>
      <c r="O157" s="15">
        <v>3.0</v>
      </c>
      <c r="P157" s="15">
        <v>3.0</v>
      </c>
      <c r="Q157" s="15" t="s">
        <v>55</v>
      </c>
      <c r="R157" s="15" t="s">
        <v>107</v>
      </c>
      <c r="S157" s="15" t="s">
        <v>83</v>
      </c>
      <c r="T157" s="15">
        <v>4.0</v>
      </c>
      <c r="U157" s="15">
        <v>-3.0</v>
      </c>
      <c r="V157" s="15" t="s">
        <v>325</v>
      </c>
      <c r="AO157" s="15">
        <v>22.0</v>
      </c>
      <c r="AP157" s="15" t="s">
        <v>59</v>
      </c>
      <c r="AQ157" s="15" t="s">
        <v>60</v>
      </c>
      <c r="AR157" s="15" t="s">
        <v>61</v>
      </c>
      <c r="AS157" s="15" t="s">
        <v>326</v>
      </c>
      <c r="AT157" s="15" t="s">
        <v>327</v>
      </c>
    </row>
    <row r="158">
      <c r="A158" s="14">
        <v>45068.89414004629</v>
      </c>
      <c r="B158" s="15" t="s">
        <v>53</v>
      </c>
      <c r="C158" s="15" t="s">
        <v>53</v>
      </c>
      <c r="D158" s="15">
        <v>-5.0</v>
      </c>
      <c r="E158" s="15" t="s">
        <v>53</v>
      </c>
      <c r="F158" s="15">
        <v>1.0</v>
      </c>
      <c r="G158" s="15">
        <v>5.0</v>
      </c>
      <c r="H158" s="15">
        <v>5.0</v>
      </c>
      <c r="I158" s="15">
        <v>5.0</v>
      </c>
      <c r="J158" s="15">
        <v>1.0</v>
      </c>
      <c r="K158" s="15">
        <v>4.0</v>
      </c>
      <c r="L158" s="15">
        <v>1.0</v>
      </c>
      <c r="M158" s="15">
        <v>2.0</v>
      </c>
      <c r="N158" s="15">
        <v>2.0</v>
      </c>
      <c r="O158" s="15">
        <v>2.0</v>
      </c>
      <c r="P158" s="15">
        <v>2.0</v>
      </c>
      <c r="Q158" s="15" t="s">
        <v>55</v>
      </c>
      <c r="R158" s="15" t="s">
        <v>107</v>
      </c>
      <c r="S158" s="15" t="s">
        <v>92</v>
      </c>
      <c r="T158" s="15">
        <v>5.0</v>
      </c>
      <c r="U158" s="15">
        <v>-3.0</v>
      </c>
      <c r="V158" s="15" t="s">
        <v>58</v>
      </c>
      <c r="AO158" s="15">
        <v>19.0</v>
      </c>
      <c r="AP158" s="15" t="s">
        <v>67</v>
      </c>
      <c r="AQ158" s="15" t="s">
        <v>120</v>
      </c>
      <c r="AR158" s="15" t="s">
        <v>61</v>
      </c>
      <c r="AS158" s="15" t="s">
        <v>105</v>
      </c>
      <c r="AT158" s="15" t="s">
        <v>328</v>
      </c>
    </row>
    <row r="159">
      <c r="A159" s="27">
        <v>45068.89514305556</v>
      </c>
      <c r="B159" s="28" t="s">
        <v>53</v>
      </c>
      <c r="C159" s="28" t="s">
        <v>53</v>
      </c>
      <c r="D159" s="28" t="s">
        <v>72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82">
        <v>3.0</v>
      </c>
      <c r="U159" s="29"/>
      <c r="V159" s="28" t="s">
        <v>80</v>
      </c>
      <c r="W159" s="29"/>
      <c r="X159" s="28" t="s">
        <v>53</v>
      </c>
      <c r="Y159" s="28">
        <v>1.0</v>
      </c>
      <c r="Z159" s="28">
        <v>5.0</v>
      </c>
      <c r="AA159" s="28">
        <v>5.0</v>
      </c>
      <c r="AB159" s="28">
        <v>5.0</v>
      </c>
      <c r="AC159" s="28">
        <v>1.0</v>
      </c>
      <c r="AD159" s="28">
        <v>2.0</v>
      </c>
      <c r="AE159" s="28">
        <v>4.0</v>
      </c>
      <c r="AF159" s="28">
        <v>1.0</v>
      </c>
      <c r="AG159" s="28">
        <v>1.0</v>
      </c>
      <c r="AH159" s="28">
        <v>1.0</v>
      </c>
      <c r="AI159" s="28">
        <v>1.0</v>
      </c>
      <c r="AJ159" s="28" t="s">
        <v>57</v>
      </c>
      <c r="AK159" s="28" t="s">
        <v>64</v>
      </c>
      <c r="AL159" s="28" t="s">
        <v>55</v>
      </c>
      <c r="AM159" s="28">
        <v>3.0</v>
      </c>
      <c r="AN159" s="28">
        <v>-2.0</v>
      </c>
      <c r="AO159" s="28">
        <v>21.0</v>
      </c>
      <c r="AP159" s="28" t="s">
        <v>59</v>
      </c>
      <c r="AQ159" s="28" t="s">
        <v>120</v>
      </c>
      <c r="AR159" s="28" t="s">
        <v>61</v>
      </c>
      <c r="AS159" s="28" t="s">
        <v>335</v>
      </c>
      <c r="AT159" s="28" t="s">
        <v>500</v>
      </c>
      <c r="AU159" s="28" t="s">
        <v>257</v>
      </c>
      <c r="AV159" s="29"/>
      <c r="AW159" s="29"/>
      <c r="AX159" s="29"/>
      <c r="AY159" s="29"/>
      <c r="AZ159" s="29"/>
      <c r="BA159" s="29"/>
    </row>
    <row r="160">
      <c r="A160" s="27">
        <v>45068.89607869213</v>
      </c>
      <c r="B160" s="28" t="s">
        <v>53</v>
      </c>
      <c r="C160" s="28" t="s">
        <v>53</v>
      </c>
      <c r="D160" s="28" t="s">
        <v>104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82">
        <v>2.0</v>
      </c>
      <c r="U160" s="29"/>
      <c r="V160" s="29"/>
      <c r="W160" s="28" t="s">
        <v>77</v>
      </c>
      <c r="X160" s="28" t="s">
        <v>53</v>
      </c>
      <c r="Y160" s="28">
        <v>2.0</v>
      </c>
      <c r="Z160" s="28">
        <v>4.0</v>
      </c>
      <c r="AA160" s="28">
        <v>4.0</v>
      </c>
      <c r="AB160" s="28">
        <v>4.0</v>
      </c>
      <c r="AC160" s="28">
        <v>3.0</v>
      </c>
      <c r="AD160" s="28">
        <v>4.0</v>
      </c>
      <c r="AE160" s="28">
        <v>4.0</v>
      </c>
      <c r="AF160" s="28">
        <v>4.0</v>
      </c>
      <c r="AG160" s="28">
        <v>4.0</v>
      </c>
      <c r="AH160" s="28">
        <v>4.0</v>
      </c>
      <c r="AI160" s="28">
        <v>4.0</v>
      </c>
      <c r="AJ160" s="28" t="s">
        <v>55</v>
      </c>
      <c r="AK160" s="28" t="s">
        <v>64</v>
      </c>
      <c r="AL160" s="28" t="s">
        <v>56</v>
      </c>
      <c r="AM160" s="28">
        <v>2.0</v>
      </c>
      <c r="AN160" s="28" t="s">
        <v>54</v>
      </c>
      <c r="AO160" s="28">
        <v>19.0</v>
      </c>
      <c r="AP160" s="28" t="s">
        <v>59</v>
      </c>
      <c r="AQ160" s="28" t="s">
        <v>120</v>
      </c>
      <c r="AR160" s="28" t="s">
        <v>61</v>
      </c>
      <c r="AS160" s="28" t="s">
        <v>337</v>
      </c>
      <c r="AT160" s="28" t="s">
        <v>501</v>
      </c>
      <c r="AU160" s="29"/>
      <c r="AV160" s="29"/>
      <c r="AW160" s="29"/>
      <c r="AX160" s="29"/>
      <c r="AY160" s="29"/>
      <c r="AZ160" s="29"/>
      <c r="BA160" s="29"/>
    </row>
    <row r="161">
      <c r="A161" s="27">
        <v>45068.896941643514</v>
      </c>
      <c r="B161" s="28" t="s">
        <v>53</v>
      </c>
      <c r="C161" s="28" t="s">
        <v>53</v>
      </c>
      <c r="D161" s="28">
        <v>-5.0</v>
      </c>
      <c r="E161" s="28" t="s">
        <v>53</v>
      </c>
      <c r="F161" s="28">
        <v>1.0</v>
      </c>
      <c r="G161" s="28">
        <v>5.0</v>
      </c>
      <c r="H161" s="28">
        <v>5.0</v>
      </c>
      <c r="I161" s="28">
        <v>5.0</v>
      </c>
      <c r="J161" s="28">
        <v>1.0</v>
      </c>
      <c r="K161" s="28">
        <v>1.0</v>
      </c>
      <c r="L161" s="28">
        <v>5.0</v>
      </c>
      <c r="M161" s="28">
        <v>1.0</v>
      </c>
      <c r="N161" s="28">
        <v>1.0</v>
      </c>
      <c r="O161" s="28">
        <v>1.0</v>
      </c>
      <c r="P161" s="28">
        <v>1.0</v>
      </c>
      <c r="Q161" s="28" t="s">
        <v>55</v>
      </c>
      <c r="R161" s="28" t="s">
        <v>92</v>
      </c>
      <c r="S161" s="28" t="s">
        <v>86</v>
      </c>
      <c r="T161" s="28">
        <v>5.0</v>
      </c>
      <c r="U161" s="28">
        <v>-5.0</v>
      </c>
      <c r="V161" s="28" t="s">
        <v>80</v>
      </c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8">
        <v>21.0</v>
      </c>
      <c r="AP161" s="28" t="s">
        <v>59</v>
      </c>
      <c r="AQ161" s="28" t="s">
        <v>502</v>
      </c>
      <c r="AR161" s="28" t="s">
        <v>61</v>
      </c>
      <c r="AS161" s="28" t="s">
        <v>69</v>
      </c>
      <c r="AT161" s="28" t="s">
        <v>503</v>
      </c>
      <c r="AU161" s="29"/>
      <c r="AV161" s="29"/>
      <c r="AW161" s="29"/>
      <c r="AX161" s="29"/>
      <c r="AY161" s="29"/>
      <c r="AZ161" s="29"/>
      <c r="BA161" s="29"/>
    </row>
    <row r="162">
      <c r="A162" s="27">
        <v>45068.897872245376</v>
      </c>
      <c r="B162" s="28" t="s">
        <v>53</v>
      </c>
      <c r="C162" s="28" t="s">
        <v>53</v>
      </c>
      <c r="D162" s="28">
        <v>-5.0</v>
      </c>
      <c r="E162" s="28" t="s">
        <v>53</v>
      </c>
      <c r="F162" s="28">
        <v>1.0</v>
      </c>
      <c r="G162" s="28">
        <v>5.0</v>
      </c>
      <c r="H162" s="28">
        <v>5.0</v>
      </c>
      <c r="I162" s="28">
        <v>5.0</v>
      </c>
      <c r="J162" s="28">
        <v>1.0</v>
      </c>
      <c r="K162" s="28">
        <v>4.0</v>
      </c>
      <c r="L162" s="28">
        <v>1.0</v>
      </c>
      <c r="M162" s="28">
        <v>4.0</v>
      </c>
      <c r="N162" s="28">
        <v>4.0</v>
      </c>
      <c r="O162" s="28">
        <v>4.0</v>
      </c>
      <c r="P162" s="28">
        <v>5.0</v>
      </c>
      <c r="Q162" s="28" t="s">
        <v>55</v>
      </c>
      <c r="R162" s="28" t="s">
        <v>57</v>
      </c>
      <c r="S162" s="28" t="s">
        <v>64</v>
      </c>
      <c r="T162" s="28">
        <v>5.0</v>
      </c>
      <c r="U162" s="28" t="s">
        <v>72</v>
      </c>
      <c r="V162" s="29"/>
      <c r="W162" s="28" t="s">
        <v>77</v>
      </c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8">
        <v>18.0</v>
      </c>
      <c r="AP162" s="28" t="s">
        <v>59</v>
      </c>
      <c r="AQ162" s="28" t="s">
        <v>504</v>
      </c>
      <c r="AR162" s="28" t="s">
        <v>61</v>
      </c>
      <c r="AS162" s="28" t="s">
        <v>69</v>
      </c>
      <c r="AT162" s="28" t="s">
        <v>505</v>
      </c>
      <c r="AU162" s="29"/>
      <c r="AV162" s="29"/>
      <c r="AW162" s="29"/>
      <c r="AX162" s="29"/>
      <c r="AY162" s="29"/>
      <c r="AZ162" s="29"/>
      <c r="BA162" s="29"/>
    </row>
    <row r="163">
      <c r="A163" s="14">
        <v>45068.89870579861</v>
      </c>
      <c r="B163" s="15" t="s">
        <v>53</v>
      </c>
      <c r="C163" s="15" t="s">
        <v>53</v>
      </c>
      <c r="D163" s="15">
        <v>-5.0</v>
      </c>
      <c r="E163" s="15" t="s">
        <v>53</v>
      </c>
      <c r="F163" s="15">
        <v>1.0</v>
      </c>
      <c r="G163" s="15">
        <v>5.0</v>
      </c>
      <c r="H163" s="15">
        <v>5.0</v>
      </c>
      <c r="I163" s="15">
        <v>5.0</v>
      </c>
      <c r="J163" s="15">
        <v>1.0</v>
      </c>
      <c r="K163" s="15">
        <v>5.0</v>
      </c>
      <c r="L163" s="15">
        <v>1.0</v>
      </c>
      <c r="M163" s="15">
        <v>5.0</v>
      </c>
      <c r="N163" s="15">
        <v>5.0</v>
      </c>
      <c r="O163" s="15">
        <v>5.0</v>
      </c>
      <c r="P163" s="15">
        <v>5.0</v>
      </c>
      <c r="Q163" s="15" t="s">
        <v>55</v>
      </c>
      <c r="R163" s="15" t="s">
        <v>64</v>
      </c>
      <c r="S163" s="15" t="s">
        <v>92</v>
      </c>
      <c r="T163" s="15">
        <v>5.0</v>
      </c>
      <c r="U163" s="15">
        <v>-5.0</v>
      </c>
      <c r="V163" s="15" t="s">
        <v>102</v>
      </c>
      <c r="AO163" s="15">
        <v>20.0</v>
      </c>
      <c r="AP163" s="15" t="s">
        <v>59</v>
      </c>
      <c r="AQ163" s="15" t="s">
        <v>120</v>
      </c>
      <c r="AR163" s="15" t="s">
        <v>61</v>
      </c>
      <c r="AS163" s="15" t="s">
        <v>69</v>
      </c>
      <c r="AT163" s="15" t="s">
        <v>329</v>
      </c>
    </row>
    <row r="164">
      <c r="A164" s="14">
        <v>45068.899461875</v>
      </c>
      <c r="B164" s="15" t="s">
        <v>53</v>
      </c>
      <c r="C164" s="15" t="s">
        <v>53</v>
      </c>
      <c r="D164" s="15">
        <v>-4.0</v>
      </c>
      <c r="E164" s="15" t="s">
        <v>53</v>
      </c>
      <c r="F164" s="15">
        <v>3.0</v>
      </c>
      <c r="G164" s="15">
        <v>2.0</v>
      </c>
      <c r="H164" s="15">
        <v>1.0</v>
      </c>
      <c r="I164" s="15">
        <v>3.0</v>
      </c>
      <c r="J164" s="15">
        <v>3.0</v>
      </c>
      <c r="K164" s="15">
        <v>4.0</v>
      </c>
      <c r="L164" s="15">
        <v>2.0</v>
      </c>
      <c r="M164" s="15">
        <v>3.0</v>
      </c>
      <c r="N164" s="15">
        <v>2.0</v>
      </c>
      <c r="O164" s="15">
        <v>3.0</v>
      </c>
      <c r="P164" s="15">
        <v>2.0</v>
      </c>
      <c r="Q164" s="15" t="s">
        <v>57</v>
      </c>
      <c r="R164" s="15" t="s">
        <v>56</v>
      </c>
      <c r="S164" s="15" t="s">
        <v>64</v>
      </c>
      <c r="T164" s="15">
        <v>5.0</v>
      </c>
      <c r="U164" s="15">
        <v>-2.0</v>
      </c>
      <c r="V164" s="15" t="s">
        <v>102</v>
      </c>
      <c r="AO164" s="15">
        <v>25.0</v>
      </c>
      <c r="AP164" s="15" t="s">
        <v>59</v>
      </c>
      <c r="AQ164" s="15" t="s">
        <v>162</v>
      </c>
      <c r="AR164" s="15" t="s">
        <v>61</v>
      </c>
      <c r="AS164" s="15" t="s">
        <v>330</v>
      </c>
      <c r="AT164" s="15" t="s">
        <v>331</v>
      </c>
      <c r="AU164" s="15" t="s">
        <v>332</v>
      </c>
    </row>
    <row r="165">
      <c r="A165" s="14">
        <v>45068.89954371528</v>
      </c>
      <c r="B165" s="15" t="s">
        <v>53</v>
      </c>
      <c r="C165" s="15" t="s">
        <v>97</v>
      </c>
      <c r="D165" s="15">
        <v>-5.0</v>
      </c>
      <c r="E165" s="15" t="s">
        <v>97</v>
      </c>
      <c r="F165" s="15">
        <v>2.0</v>
      </c>
      <c r="G165" s="15">
        <v>5.0</v>
      </c>
      <c r="H165" s="15">
        <v>5.0</v>
      </c>
      <c r="I165" s="15">
        <v>5.0</v>
      </c>
      <c r="J165" s="15">
        <v>1.0</v>
      </c>
      <c r="K165" s="15">
        <v>4.0</v>
      </c>
      <c r="L165" s="15">
        <v>2.0</v>
      </c>
      <c r="M165" s="15">
        <v>5.0</v>
      </c>
      <c r="N165" s="15">
        <v>5.0</v>
      </c>
      <c r="O165" s="15">
        <v>5.0</v>
      </c>
      <c r="P165" s="15">
        <v>5.0</v>
      </c>
      <c r="Q165" s="15" t="s">
        <v>55</v>
      </c>
      <c r="R165" s="15" t="s">
        <v>107</v>
      </c>
      <c r="S165" s="15" t="s">
        <v>83</v>
      </c>
      <c r="T165" s="15">
        <v>5.0</v>
      </c>
      <c r="U165" s="15">
        <v>-4.0</v>
      </c>
      <c r="V165" s="15" t="s">
        <v>102</v>
      </c>
      <c r="AO165" s="15">
        <v>21.0</v>
      </c>
      <c r="AP165" s="15" t="s">
        <v>59</v>
      </c>
      <c r="AQ165" s="15" t="s">
        <v>120</v>
      </c>
      <c r="AR165" s="15" t="s">
        <v>61</v>
      </c>
      <c r="AS165" s="15" t="s">
        <v>333</v>
      </c>
      <c r="AT165" s="15" t="s">
        <v>334</v>
      </c>
    </row>
    <row r="166">
      <c r="A166" s="14">
        <v>45068.900386203706</v>
      </c>
      <c r="B166" s="15" t="s">
        <v>53</v>
      </c>
      <c r="C166" s="15" t="s">
        <v>53</v>
      </c>
      <c r="D166" s="15">
        <v>-5.0</v>
      </c>
      <c r="E166" s="15" t="s">
        <v>53</v>
      </c>
      <c r="F166" s="15">
        <v>1.0</v>
      </c>
      <c r="G166" s="15">
        <v>5.0</v>
      </c>
      <c r="H166" s="15">
        <v>5.0</v>
      </c>
      <c r="I166" s="15">
        <v>5.0</v>
      </c>
      <c r="J166" s="15">
        <v>1.0</v>
      </c>
      <c r="K166" s="15">
        <v>3.0</v>
      </c>
      <c r="L166" s="15">
        <v>3.0</v>
      </c>
      <c r="M166" s="15">
        <v>3.0</v>
      </c>
      <c r="N166" s="15">
        <v>3.0</v>
      </c>
      <c r="O166" s="15">
        <v>3.0</v>
      </c>
      <c r="P166" s="15">
        <v>3.0</v>
      </c>
      <c r="Q166" s="15" t="s">
        <v>55</v>
      </c>
      <c r="R166" s="15" t="s">
        <v>64</v>
      </c>
      <c r="S166" s="15" t="s">
        <v>83</v>
      </c>
      <c r="T166" s="15">
        <v>3.0</v>
      </c>
      <c r="U166" s="15">
        <v>-5.0</v>
      </c>
      <c r="V166" s="15" t="s">
        <v>102</v>
      </c>
      <c r="AO166" s="15">
        <v>22.0</v>
      </c>
      <c r="AP166" s="15" t="s">
        <v>282</v>
      </c>
      <c r="AQ166" s="15" t="s">
        <v>120</v>
      </c>
      <c r="AR166" s="15" t="s">
        <v>61</v>
      </c>
      <c r="AS166" s="15" t="s">
        <v>335</v>
      </c>
      <c r="AT166" s="15" t="s">
        <v>336</v>
      </c>
    </row>
    <row r="167">
      <c r="A167" s="14">
        <v>45068.90115167824</v>
      </c>
      <c r="B167" s="15" t="s">
        <v>53</v>
      </c>
      <c r="C167" s="15" t="s">
        <v>53</v>
      </c>
      <c r="D167" s="15" t="s">
        <v>104</v>
      </c>
      <c r="T167" s="22">
        <v>5.0</v>
      </c>
      <c r="W167" s="15" t="s">
        <v>113</v>
      </c>
      <c r="X167" s="15" t="s">
        <v>53</v>
      </c>
      <c r="Y167" s="15">
        <v>5.0</v>
      </c>
      <c r="Z167" s="15">
        <v>1.0</v>
      </c>
      <c r="AA167" s="15">
        <v>1.0</v>
      </c>
      <c r="AB167" s="15">
        <v>5.0</v>
      </c>
      <c r="AC167" s="15">
        <v>5.0</v>
      </c>
      <c r="AD167" s="15">
        <v>5.0</v>
      </c>
      <c r="AE167" s="15">
        <v>1.0</v>
      </c>
      <c r="AF167" s="15">
        <v>5.0</v>
      </c>
      <c r="AG167" s="15">
        <v>5.0</v>
      </c>
      <c r="AH167" s="15">
        <v>5.0</v>
      </c>
      <c r="AI167" s="15">
        <v>5.0</v>
      </c>
      <c r="AJ167" s="15" t="s">
        <v>92</v>
      </c>
      <c r="AK167" s="15" t="s">
        <v>83</v>
      </c>
      <c r="AL167" s="15" t="s">
        <v>57</v>
      </c>
      <c r="AM167" s="15">
        <v>5.0</v>
      </c>
      <c r="AN167" s="15" t="s">
        <v>104</v>
      </c>
      <c r="AO167" s="15">
        <v>22.0</v>
      </c>
      <c r="AP167" s="15" t="s">
        <v>67</v>
      </c>
      <c r="AQ167" s="15" t="s">
        <v>120</v>
      </c>
      <c r="AR167" s="15" t="s">
        <v>61</v>
      </c>
      <c r="AS167" s="15" t="s">
        <v>337</v>
      </c>
      <c r="AT167" s="15" t="s">
        <v>338</v>
      </c>
    </row>
    <row r="168">
      <c r="A168" s="27">
        <v>45068.9028452662</v>
      </c>
      <c r="B168" s="28" t="s">
        <v>53</v>
      </c>
      <c r="C168" s="28" t="s">
        <v>53</v>
      </c>
      <c r="D168" s="28">
        <v>-5.0</v>
      </c>
      <c r="E168" s="28" t="s">
        <v>53</v>
      </c>
      <c r="F168" s="28">
        <v>1.0</v>
      </c>
      <c r="G168" s="28">
        <v>5.0</v>
      </c>
      <c r="H168" s="28">
        <v>5.0</v>
      </c>
      <c r="I168" s="28">
        <v>5.0</v>
      </c>
      <c r="J168" s="28">
        <v>1.0</v>
      </c>
      <c r="K168" s="28">
        <v>3.0</v>
      </c>
      <c r="L168" s="28">
        <v>3.0</v>
      </c>
      <c r="M168" s="28">
        <v>3.0</v>
      </c>
      <c r="N168" s="28">
        <v>3.0</v>
      </c>
      <c r="O168" s="28">
        <v>3.0</v>
      </c>
      <c r="P168" s="28">
        <v>3.0</v>
      </c>
      <c r="Q168" s="28" t="s">
        <v>64</v>
      </c>
      <c r="R168" s="28" t="s">
        <v>83</v>
      </c>
      <c r="S168" s="28" t="s">
        <v>92</v>
      </c>
      <c r="T168" s="28">
        <v>5.0</v>
      </c>
      <c r="U168" s="28">
        <v>-5.0</v>
      </c>
      <c r="V168" s="28" t="s">
        <v>102</v>
      </c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8">
        <v>19.0</v>
      </c>
      <c r="AP168" s="28" t="s">
        <v>59</v>
      </c>
      <c r="AQ168" s="28" t="s">
        <v>120</v>
      </c>
      <c r="AR168" s="28" t="s">
        <v>61</v>
      </c>
      <c r="AS168" s="28" t="s">
        <v>506</v>
      </c>
      <c r="AT168" s="28" t="s">
        <v>507</v>
      </c>
      <c r="AU168" s="29"/>
      <c r="AV168" s="29"/>
      <c r="AW168" s="29"/>
      <c r="AX168" s="29"/>
      <c r="AY168" s="29"/>
      <c r="AZ168" s="29"/>
      <c r="BA168" s="29"/>
    </row>
    <row r="169">
      <c r="A169" s="27">
        <v>45068.903602175924</v>
      </c>
      <c r="B169" s="28" t="s">
        <v>53</v>
      </c>
      <c r="C169" s="28" t="s">
        <v>53</v>
      </c>
      <c r="D169" s="28">
        <v>-5.0</v>
      </c>
      <c r="E169" s="28" t="s">
        <v>53</v>
      </c>
      <c r="F169" s="28">
        <v>1.0</v>
      </c>
      <c r="G169" s="28">
        <v>5.0</v>
      </c>
      <c r="H169" s="28">
        <v>5.0</v>
      </c>
      <c r="I169" s="28">
        <v>5.0</v>
      </c>
      <c r="J169" s="28">
        <v>1.0</v>
      </c>
      <c r="K169" s="28">
        <v>3.0</v>
      </c>
      <c r="L169" s="28">
        <v>3.0</v>
      </c>
      <c r="M169" s="28">
        <v>3.0</v>
      </c>
      <c r="N169" s="28">
        <v>3.0</v>
      </c>
      <c r="O169" s="28">
        <v>3.0</v>
      </c>
      <c r="P169" s="28">
        <v>3.0</v>
      </c>
      <c r="Q169" s="28" t="s">
        <v>64</v>
      </c>
      <c r="R169" s="28" t="s">
        <v>55</v>
      </c>
      <c r="S169" s="28" t="s">
        <v>56</v>
      </c>
      <c r="T169" s="28">
        <v>5.0</v>
      </c>
      <c r="U169" s="28">
        <v>-5.0</v>
      </c>
      <c r="V169" s="28" t="s">
        <v>102</v>
      </c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8">
        <v>21.0</v>
      </c>
      <c r="AP169" s="28" t="s">
        <v>59</v>
      </c>
      <c r="AQ169" s="28" t="s">
        <v>120</v>
      </c>
      <c r="AR169" s="28" t="s">
        <v>61</v>
      </c>
      <c r="AS169" s="28" t="s">
        <v>506</v>
      </c>
      <c r="AT169" s="28" t="s">
        <v>508</v>
      </c>
      <c r="AU169" s="29"/>
      <c r="AV169" s="29"/>
      <c r="AW169" s="29"/>
      <c r="AX169" s="29"/>
      <c r="AY169" s="29"/>
      <c r="AZ169" s="29"/>
      <c r="BA169" s="29"/>
    </row>
    <row r="170">
      <c r="A170" s="14">
        <v>45068.904316064814</v>
      </c>
      <c r="B170" s="15" t="s">
        <v>53</v>
      </c>
      <c r="C170" s="15" t="s">
        <v>53</v>
      </c>
      <c r="D170" s="15" t="s">
        <v>54</v>
      </c>
      <c r="T170" s="22">
        <v>4.0</v>
      </c>
      <c r="W170" s="15" t="s">
        <v>66</v>
      </c>
      <c r="X170" s="15" t="s">
        <v>53</v>
      </c>
      <c r="Y170" s="15">
        <v>4.0</v>
      </c>
      <c r="Z170" s="15">
        <v>3.0</v>
      </c>
      <c r="AA170" s="15">
        <v>2.0</v>
      </c>
      <c r="AB170" s="15">
        <v>4.0</v>
      </c>
      <c r="AC170" s="15">
        <v>4.0</v>
      </c>
      <c r="AD170" s="15">
        <v>4.0</v>
      </c>
      <c r="AE170" s="15">
        <v>2.0</v>
      </c>
      <c r="AF170" s="15">
        <v>3.0</v>
      </c>
      <c r="AG170" s="15">
        <v>4.0</v>
      </c>
      <c r="AH170" s="15">
        <v>4.0</v>
      </c>
      <c r="AI170" s="15">
        <v>4.0</v>
      </c>
      <c r="AJ170" s="15" t="s">
        <v>55</v>
      </c>
      <c r="AK170" s="15" t="s">
        <v>64</v>
      </c>
      <c r="AL170" s="15" t="s">
        <v>92</v>
      </c>
      <c r="AM170" s="15">
        <v>4.0</v>
      </c>
      <c r="AN170" s="15" t="s">
        <v>85</v>
      </c>
      <c r="AO170" s="15">
        <v>18.0</v>
      </c>
      <c r="AP170" s="15" t="s">
        <v>59</v>
      </c>
      <c r="AQ170" s="15" t="s">
        <v>60</v>
      </c>
      <c r="AR170" s="15" t="s">
        <v>109</v>
      </c>
      <c r="AS170" s="15" t="s">
        <v>225</v>
      </c>
      <c r="AT170" s="15" t="s">
        <v>339</v>
      </c>
      <c r="AU170" s="15" t="s">
        <v>129</v>
      </c>
    </row>
    <row r="171">
      <c r="A171" s="27">
        <v>45068.904277291665</v>
      </c>
      <c r="B171" s="28" t="s">
        <v>53</v>
      </c>
      <c r="C171" s="28" t="s">
        <v>53</v>
      </c>
      <c r="D171" s="28">
        <v>-5.0</v>
      </c>
      <c r="E171" s="28" t="s">
        <v>53</v>
      </c>
      <c r="F171" s="28">
        <v>1.0</v>
      </c>
      <c r="G171" s="28">
        <v>5.0</v>
      </c>
      <c r="H171" s="28">
        <v>5.0</v>
      </c>
      <c r="I171" s="28">
        <v>5.0</v>
      </c>
      <c r="J171" s="28">
        <v>1.0</v>
      </c>
      <c r="K171" s="28">
        <v>3.0</v>
      </c>
      <c r="L171" s="28">
        <v>3.0</v>
      </c>
      <c r="M171" s="28">
        <v>3.0</v>
      </c>
      <c r="N171" s="28">
        <v>3.0</v>
      </c>
      <c r="O171" s="28">
        <v>3.0</v>
      </c>
      <c r="P171" s="28">
        <v>3.0</v>
      </c>
      <c r="Q171" s="28" t="s">
        <v>107</v>
      </c>
      <c r="R171" s="28" t="s">
        <v>55</v>
      </c>
      <c r="S171" s="28" t="s">
        <v>64</v>
      </c>
      <c r="T171" s="28">
        <v>5.0</v>
      </c>
      <c r="U171" s="28">
        <v>-5.0</v>
      </c>
      <c r="V171" s="28" t="s">
        <v>102</v>
      </c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8">
        <v>19.0</v>
      </c>
      <c r="AP171" s="28" t="s">
        <v>282</v>
      </c>
      <c r="AQ171" s="28" t="s">
        <v>504</v>
      </c>
      <c r="AR171" s="28" t="s">
        <v>61</v>
      </c>
      <c r="AS171" s="28" t="s">
        <v>69</v>
      </c>
      <c r="AT171" s="28" t="s">
        <v>509</v>
      </c>
      <c r="AU171" s="29"/>
      <c r="AV171" s="29"/>
      <c r="AW171" s="29"/>
      <c r="AX171" s="29"/>
      <c r="AY171" s="29"/>
      <c r="AZ171" s="29"/>
      <c r="BA171" s="29"/>
    </row>
    <row r="172">
      <c r="A172" s="14">
        <v>45068.90471163194</v>
      </c>
      <c r="B172" s="15" t="s">
        <v>53</v>
      </c>
      <c r="C172" s="15" t="s">
        <v>53</v>
      </c>
      <c r="D172" s="15">
        <v>-1.0</v>
      </c>
      <c r="E172" s="15" t="s">
        <v>53</v>
      </c>
      <c r="F172" s="15">
        <v>4.0</v>
      </c>
      <c r="G172" s="15">
        <v>2.0</v>
      </c>
      <c r="H172" s="15">
        <v>2.0</v>
      </c>
      <c r="I172" s="15">
        <v>4.0</v>
      </c>
      <c r="J172" s="15">
        <v>1.0</v>
      </c>
      <c r="K172" s="15">
        <v>4.0</v>
      </c>
      <c r="L172" s="15">
        <v>1.0</v>
      </c>
      <c r="M172" s="15">
        <v>4.0</v>
      </c>
      <c r="N172" s="15">
        <v>5.0</v>
      </c>
      <c r="O172" s="15">
        <v>5.0</v>
      </c>
      <c r="P172" s="15">
        <v>5.0</v>
      </c>
      <c r="Q172" s="15" t="s">
        <v>55</v>
      </c>
      <c r="R172" s="15" t="s">
        <v>56</v>
      </c>
      <c r="S172" s="15" t="s">
        <v>86</v>
      </c>
      <c r="T172" s="15">
        <v>5.0</v>
      </c>
      <c r="U172" s="15">
        <v>-4.0</v>
      </c>
      <c r="V172" s="15" t="s">
        <v>80</v>
      </c>
      <c r="AO172" s="15">
        <v>23.0</v>
      </c>
      <c r="AP172" s="15" t="s">
        <v>67</v>
      </c>
      <c r="AQ172" s="15" t="s">
        <v>340</v>
      </c>
      <c r="AR172" s="15" t="s">
        <v>109</v>
      </c>
      <c r="AS172" s="15" t="s">
        <v>69</v>
      </c>
      <c r="AT172" s="15" t="s">
        <v>341</v>
      </c>
    </row>
    <row r="173">
      <c r="A173" s="27">
        <v>45068.90499935186</v>
      </c>
      <c r="B173" s="28" t="s">
        <v>53</v>
      </c>
      <c r="C173" s="28" t="s">
        <v>53</v>
      </c>
      <c r="D173" s="28">
        <v>-5.0</v>
      </c>
      <c r="E173" s="28" t="s">
        <v>53</v>
      </c>
      <c r="F173" s="28">
        <v>1.0</v>
      </c>
      <c r="G173" s="28">
        <v>4.0</v>
      </c>
      <c r="H173" s="28">
        <v>5.0</v>
      </c>
      <c r="I173" s="28">
        <v>5.0</v>
      </c>
      <c r="J173" s="28">
        <v>1.0</v>
      </c>
      <c r="K173" s="28">
        <v>4.0</v>
      </c>
      <c r="L173" s="28">
        <v>2.0</v>
      </c>
      <c r="M173" s="28">
        <v>4.0</v>
      </c>
      <c r="N173" s="28">
        <v>4.0</v>
      </c>
      <c r="O173" s="28">
        <v>4.0</v>
      </c>
      <c r="P173" s="28">
        <v>4.0</v>
      </c>
      <c r="Q173" s="28" t="s">
        <v>55</v>
      </c>
      <c r="R173" s="28" t="s">
        <v>57</v>
      </c>
      <c r="S173" s="28" t="s">
        <v>92</v>
      </c>
      <c r="T173" s="28">
        <v>5.0</v>
      </c>
      <c r="U173" s="28">
        <v>-5.0</v>
      </c>
      <c r="V173" s="28" t="s">
        <v>102</v>
      </c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8">
        <v>19.0</v>
      </c>
      <c r="AP173" s="28" t="s">
        <v>59</v>
      </c>
      <c r="AQ173" s="28" t="s">
        <v>120</v>
      </c>
      <c r="AR173" s="28" t="s">
        <v>61</v>
      </c>
      <c r="AS173" s="28" t="s">
        <v>510</v>
      </c>
      <c r="AT173" s="28" t="s">
        <v>511</v>
      </c>
      <c r="AU173" s="29"/>
      <c r="AV173" s="29"/>
      <c r="AW173" s="29"/>
      <c r="AX173" s="29"/>
      <c r="AY173" s="29"/>
      <c r="AZ173" s="29"/>
      <c r="BA173" s="29"/>
    </row>
    <row r="174">
      <c r="A174" s="14">
        <v>45068.91078092593</v>
      </c>
      <c r="B174" s="15" t="s">
        <v>53</v>
      </c>
      <c r="C174" s="15" t="s">
        <v>53</v>
      </c>
      <c r="D174" s="15" t="s">
        <v>54</v>
      </c>
      <c r="T174" s="22">
        <v>4.0</v>
      </c>
      <c r="W174" s="15" t="s">
        <v>77</v>
      </c>
      <c r="X174" s="15" t="s">
        <v>53</v>
      </c>
      <c r="Y174" s="15">
        <v>5.0</v>
      </c>
      <c r="Z174" s="15">
        <v>1.0</v>
      </c>
      <c r="AA174" s="15">
        <v>1.0</v>
      </c>
      <c r="AB174" s="15">
        <v>4.0</v>
      </c>
      <c r="AC174" s="15">
        <v>4.0</v>
      </c>
      <c r="AD174" s="15">
        <v>5.0</v>
      </c>
      <c r="AE174" s="15">
        <v>2.0</v>
      </c>
      <c r="AF174" s="15">
        <v>3.0</v>
      </c>
      <c r="AG174" s="15">
        <v>3.0</v>
      </c>
      <c r="AH174" s="15">
        <v>3.0</v>
      </c>
      <c r="AI174" s="15">
        <v>3.0</v>
      </c>
      <c r="AJ174" s="15" t="s">
        <v>56</v>
      </c>
      <c r="AK174" s="15" t="s">
        <v>92</v>
      </c>
      <c r="AL174" s="15" t="s">
        <v>64</v>
      </c>
      <c r="AM174" s="15">
        <v>4.0</v>
      </c>
      <c r="AN174" s="15" t="s">
        <v>54</v>
      </c>
      <c r="AO174" s="15">
        <v>21.0</v>
      </c>
      <c r="AP174" s="15" t="s">
        <v>67</v>
      </c>
      <c r="AQ174" s="15" t="s">
        <v>60</v>
      </c>
      <c r="AR174" s="15" t="s">
        <v>61</v>
      </c>
      <c r="AS174" s="15" t="s">
        <v>138</v>
      </c>
      <c r="AT174" s="15" t="s">
        <v>342</v>
      </c>
    </row>
    <row r="175">
      <c r="A175" s="14">
        <v>45068.91135015046</v>
      </c>
      <c r="B175" s="15" t="s">
        <v>53</v>
      </c>
      <c r="C175" s="15" t="s">
        <v>53</v>
      </c>
      <c r="D175" s="15">
        <v>-2.0</v>
      </c>
      <c r="E175" s="15" t="s">
        <v>53</v>
      </c>
      <c r="F175" s="15">
        <v>2.0</v>
      </c>
      <c r="G175" s="15">
        <v>4.0</v>
      </c>
      <c r="H175" s="15">
        <v>4.0</v>
      </c>
      <c r="I175" s="15">
        <v>4.0</v>
      </c>
      <c r="J175" s="15">
        <v>3.0</v>
      </c>
      <c r="K175" s="15">
        <v>4.0</v>
      </c>
      <c r="L175" s="15">
        <v>2.0</v>
      </c>
      <c r="M175" s="15">
        <v>5.0</v>
      </c>
      <c r="N175" s="15">
        <v>5.0</v>
      </c>
      <c r="O175" s="15">
        <v>5.0</v>
      </c>
      <c r="P175" s="15">
        <v>5.0</v>
      </c>
      <c r="Q175" s="15" t="s">
        <v>55</v>
      </c>
      <c r="R175" s="15" t="s">
        <v>64</v>
      </c>
      <c r="S175" s="15" t="s">
        <v>83</v>
      </c>
      <c r="T175" s="15">
        <v>4.0</v>
      </c>
      <c r="U175" s="15" t="s">
        <v>54</v>
      </c>
      <c r="W175" s="15" t="s">
        <v>77</v>
      </c>
      <c r="AO175" s="15">
        <v>21.0</v>
      </c>
      <c r="AP175" s="15" t="s">
        <v>59</v>
      </c>
      <c r="AQ175" s="15" t="s">
        <v>60</v>
      </c>
      <c r="AR175" s="15" t="s">
        <v>61</v>
      </c>
      <c r="AS175" s="15" t="s">
        <v>93</v>
      </c>
      <c r="AT175" s="15" t="s">
        <v>343</v>
      </c>
    </row>
    <row r="176">
      <c r="A176" s="14">
        <v>45068.913604664354</v>
      </c>
      <c r="B176" s="15" t="s">
        <v>53</v>
      </c>
      <c r="C176" s="15" t="s">
        <v>53</v>
      </c>
      <c r="D176" s="15">
        <v>-1.0</v>
      </c>
      <c r="E176" s="15" t="s">
        <v>53</v>
      </c>
      <c r="F176" s="15">
        <v>2.0</v>
      </c>
      <c r="G176" s="15">
        <v>3.0</v>
      </c>
      <c r="H176" s="15">
        <v>2.0</v>
      </c>
      <c r="I176" s="15">
        <v>3.0</v>
      </c>
      <c r="J176" s="15">
        <v>1.0</v>
      </c>
      <c r="K176" s="15">
        <v>2.0</v>
      </c>
      <c r="L176" s="15">
        <v>3.0</v>
      </c>
      <c r="M176" s="15">
        <v>5.0</v>
      </c>
      <c r="N176" s="15">
        <v>4.0</v>
      </c>
      <c r="O176" s="15">
        <v>3.0</v>
      </c>
      <c r="P176" s="15">
        <v>4.0</v>
      </c>
      <c r="Q176" s="15" t="s">
        <v>64</v>
      </c>
      <c r="R176" s="15" t="s">
        <v>86</v>
      </c>
      <c r="S176" s="15" t="s">
        <v>55</v>
      </c>
      <c r="T176" s="15">
        <v>3.0</v>
      </c>
      <c r="U176" s="15" t="s">
        <v>72</v>
      </c>
      <c r="W176" s="15" t="s">
        <v>116</v>
      </c>
      <c r="AO176" s="15">
        <v>24.0</v>
      </c>
      <c r="AP176" s="15" t="s">
        <v>59</v>
      </c>
      <c r="AQ176" s="15" t="s">
        <v>344</v>
      </c>
      <c r="AR176" s="15" t="s">
        <v>61</v>
      </c>
      <c r="AS176" s="15" t="s">
        <v>69</v>
      </c>
      <c r="AT176" s="15" t="s">
        <v>345</v>
      </c>
      <c r="AU176" s="15" t="s">
        <v>288</v>
      </c>
    </row>
    <row r="177">
      <c r="A177" s="14">
        <v>45068.92077394676</v>
      </c>
      <c r="B177" s="15" t="s">
        <v>53</v>
      </c>
      <c r="C177" s="15" t="s">
        <v>53</v>
      </c>
      <c r="D177" s="15" t="s">
        <v>85</v>
      </c>
      <c r="T177" s="22">
        <v>4.0</v>
      </c>
      <c r="W177" s="15" t="s">
        <v>108</v>
      </c>
      <c r="X177" s="15" t="s">
        <v>53</v>
      </c>
      <c r="Y177" s="15">
        <v>5.0</v>
      </c>
      <c r="Z177" s="15">
        <v>1.0</v>
      </c>
      <c r="AA177" s="15">
        <v>1.0</v>
      </c>
      <c r="AB177" s="15">
        <v>4.0</v>
      </c>
      <c r="AC177" s="15">
        <v>5.0</v>
      </c>
      <c r="AD177" s="15">
        <v>1.0</v>
      </c>
      <c r="AE177" s="15">
        <v>2.0</v>
      </c>
      <c r="AF177" s="15">
        <v>2.0</v>
      </c>
      <c r="AG177" s="15">
        <v>2.0</v>
      </c>
      <c r="AH177" s="15">
        <v>2.0</v>
      </c>
      <c r="AI177" s="15">
        <v>2.0</v>
      </c>
      <c r="AJ177" s="15" t="s">
        <v>55</v>
      </c>
      <c r="AK177" s="15" t="s">
        <v>57</v>
      </c>
      <c r="AL177" s="15" t="s">
        <v>92</v>
      </c>
      <c r="AM177" s="15">
        <v>4.0</v>
      </c>
      <c r="AN177" s="15" t="s">
        <v>54</v>
      </c>
      <c r="AO177" s="15">
        <v>25.0</v>
      </c>
      <c r="AP177" s="15" t="s">
        <v>67</v>
      </c>
      <c r="AQ177" s="15" t="s">
        <v>60</v>
      </c>
      <c r="AR177" s="15" t="s">
        <v>61</v>
      </c>
      <c r="AS177" s="15" t="s">
        <v>69</v>
      </c>
      <c r="AT177" s="15" t="s">
        <v>346</v>
      </c>
    </row>
    <row r="178">
      <c r="A178" s="14">
        <v>45068.92142755787</v>
      </c>
      <c r="B178" s="15" t="s">
        <v>53</v>
      </c>
      <c r="C178" s="15" t="s">
        <v>53</v>
      </c>
      <c r="D178" s="15" t="s">
        <v>104</v>
      </c>
      <c r="T178" s="22">
        <v>5.0</v>
      </c>
      <c r="W178" s="15" t="s">
        <v>347</v>
      </c>
      <c r="X178" s="15" t="s">
        <v>53</v>
      </c>
      <c r="Y178" s="15">
        <v>5.0</v>
      </c>
      <c r="Z178" s="15">
        <v>2.0</v>
      </c>
      <c r="AA178" s="15">
        <v>2.0</v>
      </c>
      <c r="AB178" s="15">
        <v>5.0</v>
      </c>
      <c r="AC178" s="15">
        <v>3.0</v>
      </c>
      <c r="AD178" s="15">
        <v>5.0</v>
      </c>
      <c r="AE178" s="15">
        <v>1.0</v>
      </c>
      <c r="AF178" s="15">
        <v>5.0</v>
      </c>
      <c r="AG178" s="15">
        <v>5.0</v>
      </c>
      <c r="AH178" s="15">
        <v>5.0</v>
      </c>
      <c r="AI178" s="15">
        <v>5.0</v>
      </c>
      <c r="AJ178" s="15" t="s">
        <v>55</v>
      </c>
      <c r="AK178" s="15" t="s">
        <v>64</v>
      </c>
      <c r="AL178" s="15" t="s">
        <v>56</v>
      </c>
      <c r="AM178" s="15">
        <v>5.0</v>
      </c>
      <c r="AN178" s="15" t="s">
        <v>54</v>
      </c>
      <c r="AO178" s="15">
        <v>22.0</v>
      </c>
      <c r="AP178" s="15" t="s">
        <v>67</v>
      </c>
      <c r="AQ178" s="15" t="s">
        <v>348</v>
      </c>
      <c r="AR178" s="15" t="s">
        <v>61</v>
      </c>
      <c r="AS178" s="15" t="s">
        <v>225</v>
      </c>
      <c r="AT178" s="15" t="s">
        <v>349</v>
      </c>
    </row>
    <row r="179">
      <c r="A179" s="14">
        <v>45068.92181277778</v>
      </c>
      <c r="B179" s="15" t="s">
        <v>53</v>
      </c>
      <c r="C179" s="15" t="s">
        <v>53</v>
      </c>
      <c r="D179" s="15" t="s">
        <v>72</v>
      </c>
      <c r="T179" s="22">
        <v>4.0</v>
      </c>
      <c r="V179" s="15" t="s">
        <v>80</v>
      </c>
      <c r="X179" s="15" t="s">
        <v>53</v>
      </c>
      <c r="Y179" s="15">
        <v>3.0</v>
      </c>
      <c r="Z179" s="15">
        <v>4.0</v>
      </c>
      <c r="AA179" s="15">
        <v>4.0</v>
      </c>
      <c r="AB179" s="15">
        <v>5.0</v>
      </c>
      <c r="AC179" s="15">
        <v>1.0</v>
      </c>
      <c r="AD179" s="15">
        <v>4.0</v>
      </c>
      <c r="AE179" s="15">
        <v>2.0</v>
      </c>
      <c r="AF179" s="15">
        <v>4.0</v>
      </c>
      <c r="AG179" s="15">
        <v>4.0</v>
      </c>
      <c r="AH179" s="15">
        <v>4.0</v>
      </c>
      <c r="AI179" s="15">
        <v>5.0</v>
      </c>
      <c r="AJ179" s="15" t="s">
        <v>55</v>
      </c>
      <c r="AK179" s="15" t="s">
        <v>64</v>
      </c>
      <c r="AL179" s="15" t="s">
        <v>57</v>
      </c>
      <c r="AM179" s="15">
        <v>4.0</v>
      </c>
      <c r="AN179" s="15">
        <v>-3.0</v>
      </c>
      <c r="AO179" s="15">
        <v>22.0</v>
      </c>
      <c r="AP179" s="15" t="s">
        <v>67</v>
      </c>
      <c r="AQ179" s="15" t="s">
        <v>350</v>
      </c>
      <c r="AR179" s="15" t="s">
        <v>61</v>
      </c>
      <c r="AS179" s="15" t="s">
        <v>105</v>
      </c>
      <c r="AT179" s="15" t="s">
        <v>351</v>
      </c>
    </row>
    <row r="180">
      <c r="A180" s="14">
        <v>45068.927150937496</v>
      </c>
      <c r="B180" s="15" t="s">
        <v>53</v>
      </c>
      <c r="C180" s="15" t="s">
        <v>53</v>
      </c>
      <c r="D180" s="15">
        <v>-2.0</v>
      </c>
      <c r="E180" s="15" t="s">
        <v>53</v>
      </c>
      <c r="F180" s="15">
        <v>2.0</v>
      </c>
      <c r="G180" s="15">
        <v>4.0</v>
      </c>
      <c r="H180" s="15">
        <v>4.0</v>
      </c>
      <c r="I180" s="15">
        <v>5.0</v>
      </c>
      <c r="J180" s="15">
        <v>1.0</v>
      </c>
      <c r="K180" s="15">
        <v>5.0</v>
      </c>
      <c r="L180" s="15">
        <v>2.0</v>
      </c>
      <c r="M180" s="15">
        <v>2.0</v>
      </c>
      <c r="N180" s="15">
        <v>2.0</v>
      </c>
      <c r="O180" s="15">
        <v>2.0</v>
      </c>
      <c r="P180" s="15">
        <v>2.0</v>
      </c>
      <c r="Q180" s="15" t="s">
        <v>64</v>
      </c>
      <c r="R180" s="15" t="s">
        <v>55</v>
      </c>
      <c r="S180" s="15" t="s">
        <v>57</v>
      </c>
      <c r="T180" s="15">
        <v>5.0</v>
      </c>
      <c r="U180" s="15" t="s">
        <v>72</v>
      </c>
      <c r="W180" s="15" t="s">
        <v>77</v>
      </c>
      <c r="AO180" s="15">
        <v>21.0</v>
      </c>
      <c r="AP180" s="15" t="s">
        <v>59</v>
      </c>
      <c r="AQ180" s="15" t="s">
        <v>120</v>
      </c>
      <c r="AR180" s="15" t="s">
        <v>109</v>
      </c>
      <c r="AS180" s="15" t="s">
        <v>352</v>
      </c>
      <c r="AT180" s="15" t="s">
        <v>353</v>
      </c>
    </row>
    <row r="181">
      <c r="A181" s="14">
        <v>45068.93192783565</v>
      </c>
      <c r="B181" s="15" t="s">
        <v>53</v>
      </c>
      <c r="C181" s="15" t="s">
        <v>53</v>
      </c>
      <c r="D181" s="15" t="s">
        <v>104</v>
      </c>
      <c r="T181" s="22">
        <v>4.0</v>
      </c>
      <c r="V181" s="15" t="s">
        <v>80</v>
      </c>
      <c r="X181" s="15" t="s">
        <v>53</v>
      </c>
      <c r="Y181" s="15">
        <v>4.0</v>
      </c>
      <c r="Z181" s="15">
        <v>2.0</v>
      </c>
      <c r="AA181" s="15">
        <v>3.0</v>
      </c>
      <c r="AB181" s="15">
        <v>5.0</v>
      </c>
      <c r="AC181" s="15">
        <v>3.0</v>
      </c>
      <c r="AD181" s="15">
        <v>5.0</v>
      </c>
      <c r="AE181" s="15">
        <v>1.0</v>
      </c>
      <c r="AF181" s="15">
        <v>4.0</v>
      </c>
      <c r="AG181" s="15">
        <v>4.0</v>
      </c>
      <c r="AH181" s="15">
        <v>5.0</v>
      </c>
      <c r="AI181" s="15">
        <v>4.0</v>
      </c>
      <c r="AJ181" s="15" t="s">
        <v>55</v>
      </c>
      <c r="AK181" s="15" t="s">
        <v>64</v>
      </c>
      <c r="AL181" s="15" t="s">
        <v>56</v>
      </c>
      <c r="AM181" s="15">
        <v>4.0</v>
      </c>
      <c r="AN181" s="15">
        <v>-3.0</v>
      </c>
      <c r="AO181" s="15">
        <v>21.0</v>
      </c>
      <c r="AP181" s="15" t="s">
        <v>67</v>
      </c>
      <c r="AQ181" s="15" t="s">
        <v>60</v>
      </c>
      <c r="AR181" s="15" t="s">
        <v>61</v>
      </c>
      <c r="AS181" s="15" t="s">
        <v>354</v>
      </c>
      <c r="AT181" s="15" t="s">
        <v>355</v>
      </c>
      <c r="AU181" s="15" t="s">
        <v>356</v>
      </c>
    </row>
    <row r="182">
      <c r="A182" s="14">
        <v>45068.932280023146</v>
      </c>
      <c r="B182" s="15" t="s">
        <v>53</v>
      </c>
      <c r="C182" s="15" t="s">
        <v>53</v>
      </c>
      <c r="D182" s="15" t="s">
        <v>85</v>
      </c>
      <c r="T182" s="22">
        <v>4.0</v>
      </c>
      <c r="V182" s="15" t="s">
        <v>80</v>
      </c>
      <c r="X182" s="15" t="s">
        <v>53</v>
      </c>
      <c r="Y182" s="15">
        <v>5.0</v>
      </c>
      <c r="Z182" s="15">
        <v>1.0</v>
      </c>
      <c r="AA182" s="15">
        <v>1.0</v>
      </c>
      <c r="AB182" s="15">
        <v>4.0</v>
      </c>
      <c r="AC182" s="15">
        <v>3.0</v>
      </c>
      <c r="AD182" s="15">
        <v>4.0</v>
      </c>
      <c r="AE182" s="15">
        <v>1.0</v>
      </c>
      <c r="AF182" s="15">
        <v>3.0</v>
      </c>
      <c r="AG182" s="15">
        <v>3.0</v>
      </c>
      <c r="AH182" s="15">
        <v>3.0</v>
      </c>
      <c r="AI182" s="15">
        <v>3.0</v>
      </c>
      <c r="AJ182" s="15" t="s">
        <v>55</v>
      </c>
      <c r="AK182" s="15" t="s">
        <v>64</v>
      </c>
      <c r="AL182" s="15" t="s">
        <v>57</v>
      </c>
      <c r="AM182" s="15">
        <v>4.0</v>
      </c>
      <c r="AN182" s="15">
        <v>-2.0</v>
      </c>
      <c r="AO182" s="15">
        <v>22.0</v>
      </c>
      <c r="AP182" s="15" t="s">
        <v>67</v>
      </c>
      <c r="AQ182" s="15" t="s">
        <v>60</v>
      </c>
      <c r="AR182" s="15" t="s">
        <v>61</v>
      </c>
      <c r="AS182" s="15" t="s">
        <v>93</v>
      </c>
      <c r="AT182" s="15" t="s">
        <v>357</v>
      </c>
    </row>
    <row r="183">
      <c r="A183" s="14">
        <v>45068.93870695602</v>
      </c>
      <c r="B183" s="15" t="s">
        <v>53</v>
      </c>
      <c r="C183" s="15" t="s">
        <v>53</v>
      </c>
      <c r="D183" s="15">
        <v>-3.0</v>
      </c>
      <c r="E183" s="15" t="s">
        <v>53</v>
      </c>
      <c r="F183" s="15">
        <v>2.0</v>
      </c>
      <c r="G183" s="15">
        <v>3.0</v>
      </c>
      <c r="H183" s="15">
        <v>4.0</v>
      </c>
      <c r="I183" s="15">
        <v>5.0</v>
      </c>
      <c r="J183" s="15">
        <v>2.0</v>
      </c>
      <c r="K183" s="15">
        <v>2.0</v>
      </c>
      <c r="L183" s="15">
        <v>2.0</v>
      </c>
      <c r="M183" s="15">
        <v>3.0</v>
      </c>
      <c r="N183" s="15">
        <v>2.0</v>
      </c>
      <c r="O183" s="15">
        <v>1.0</v>
      </c>
      <c r="P183" s="15">
        <v>1.0</v>
      </c>
      <c r="Q183" s="15" t="s">
        <v>64</v>
      </c>
      <c r="R183" s="15" t="s">
        <v>55</v>
      </c>
      <c r="S183" s="15" t="s">
        <v>56</v>
      </c>
      <c r="T183" s="15">
        <v>2.0</v>
      </c>
      <c r="U183" s="15">
        <v>-1.0</v>
      </c>
      <c r="V183" s="15" t="s">
        <v>58</v>
      </c>
      <c r="AO183" s="15">
        <v>24.0</v>
      </c>
      <c r="AP183" s="15" t="s">
        <v>59</v>
      </c>
      <c r="AQ183" s="15" t="s">
        <v>60</v>
      </c>
      <c r="AR183" s="15" t="s">
        <v>61</v>
      </c>
      <c r="AS183" s="15" t="s">
        <v>326</v>
      </c>
      <c r="AT183" s="15" t="s">
        <v>358</v>
      </c>
    </row>
    <row r="184">
      <c r="A184" s="14">
        <v>45068.94262396991</v>
      </c>
      <c r="B184" s="15" t="s">
        <v>53</v>
      </c>
      <c r="C184" s="15" t="s">
        <v>53</v>
      </c>
      <c r="D184" s="15" t="s">
        <v>54</v>
      </c>
      <c r="T184" s="22">
        <v>5.0</v>
      </c>
      <c r="V184" s="15" t="s">
        <v>58</v>
      </c>
      <c r="X184" s="15" t="s">
        <v>53</v>
      </c>
      <c r="Y184" s="15">
        <v>2.0</v>
      </c>
      <c r="Z184" s="15">
        <v>4.0</v>
      </c>
      <c r="AA184" s="15">
        <v>4.0</v>
      </c>
      <c r="AB184" s="15">
        <v>3.0</v>
      </c>
      <c r="AC184" s="15">
        <v>2.0</v>
      </c>
      <c r="AD184" s="15">
        <v>4.0</v>
      </c>
      <c r="AE184" s="15">
        <v>1.0</v>
      </c>
      <c r="AF184" s="15">
        <v>4.0</v>
      </c>
      <c r="AG184" s="15">
        <v>4.0</v>
      </c>
      <c r="AH184" s="15">
        <v>4.0</v>
      </c>
      <c r="AI184" s="15">
        <v>4.0</v>
      </c>
      <c r="AJ184" s="15" t="s">
        <v>55</v>
      </c>
      <c r="AK184" s="15" t="s">
        <v>57</v>
      </c>
      <c r="AL184" s="15" t="s">
        <v>83</v>
      </c>
      <c r="AM184" s="15">
        <v>5.0</v>
      </c>
      <c r="AN184" s="15">
        <v>-2.0</v>
      </c>
      <c r="AO184" s="15">
        <v>21.0</v>
      </c>
      <c r="AP184" s="15" t="s">
        <v>67</v>
      </c>
      <c r="AQ184" s="15" t="s">
        <v>120</v>
      </c>
      <c r="AR184" s="15" t="s">
        <v>61</v>
      </c>
      <c r="AS184" s="15" t="s">
        <v>99</v>
      </c>
      <c r="AT184" s="15" t="s">
        <v>359</v>
      </c>
    </row>
    <row r="185">
      <c r="A185" s="14">
        <v>45068.94844126157</v>
      </c>
      <c r="B185" s="15" t="s">
        <v>97</v>
      </c>
    </row>
    <row r="186">
      <c r="A186" s="14">
        <v>45068.95092481481</v>
      </c>
      <c r="B186" s="15" t="s">
        <v>53</v>
      </c>
      <c r="C186" s="15" t="s">
        <v>53</v>
      </c>
      <c r="D186" s="15" t="s">
        <v>65</v>
      </c>
      <c r="T186" s="22">
        <v>3.0</v>
      </c>
      <c r="W186" s="15" t="s">
        <v>113</v>
      </c>
      <c r="X186" s="15" t="s">
        <v>53</v>
      </c>
      <c r="Y186" s="15">
        <v>3.0</v>
      </c>
      <c r="Z186" s="15">
        <v>1.0</v>
      </c>
      <c r="AA186" s="15">
        <v>1.0</v>
      </c>
      <c r="AB186" s="15">
        <v>4.0</v>
      </c>
      <c r="AC186" s="15">
        <v>2.0</v>
      </c>
      <c r="AD186" s="15">
        <v>3.0</v>
      </c>
      <c r="AE186" s="15">
        <v>1.0</v>
      </c>
      <c r="AF186" s="15">
        <v>3.0</v>
      </c>
      <c r="AG186" s="15">
        <v>3.0</v>
      </c>
      <c r="AH186" s="15">
        <v>1.0</v>
      </c>
      <c r="AI186" s="15">
        <v>1.0</v>
      </c>
      <c r="AJ186" s="15" t="s">
        <v>64</v>
      </c>
      <c r="AK186" s="15" t="s">
        <v>55</v>
      </c>
      <c r="AL186" s="15" t="s">
        <v>56</v>
      </c>
      <c r="AM186" s="15">
        <v>3.0</v>
      </c>
      <c r="AN186" s="15" t="s">
        <v>65</v>
      </c>
      <c r="AO186" s="15">
        <v>21.0</v>
      </c>
      <c r="AP186" s="15" t="s">
        <v>67</v>
      </c>
      <c r="AQ186" s="15" t="s">
        <v>360</v>
      </c>
      <c r="AR186" s="15" t="s">
        <v>61</v>
      </c>
      <c r="AS186" s="15" t="s">
        <v>69</v>
      </c>
      <c r="AT186" s="15" t="s">
        <v>361</v>
      </c>
      <c r="AU186" s="15" t="s">
        <v>362</v>
      </c>
    </row>
    <row r="187">
      <c r="A187" s="14">
        <v>45068.9534659375</v>
      </c>
      <c r="B187" s="15" t="s">
        <v>53</v>
      </c>
      <c r="C187" s="15" t="s">
        <v>53</v>
      </c>
      <c r="D187" s="15" t="s">
        <v>85</v>
      </c>
      <c r="T187" s="22">
        <v>4.0</v>
      </c>
      <c r="W187" s="15" t="s">
        <v>73</v>
      </c>
      <c r="X187" s="15" t="s">
        <v>53</v>
      </c>
      <c r="Y187" s="15">
        <v>5.0</v>
      </c>
      <c r="Z187" s="15">
        <v>2.0</v>
      </c>
      <c r="AA187" s="15">
        <v>1.0</v>
      </c>
      <c r="AB187" s="15">
        <v>4.0</v>
      </c>
      <c r="AC187" s="15">
        <v>3.0</v>
      </c>
      <c r="AD187" s="15">
        <v>4.0</v>
      </c>
      <c r="AE187" s="15">
        <v>3.0</v>
      </c>
      <c r="AF187" s="15">
        <v>2.0</v>
      </c>
      <c r="AG187" s="15">
        <v>2.0</v>
      </c>
      <c r="AH187" s="15">
        <v>2.0</v>
      </c>
      <c r="AI187" s="15">
        <v>2.0</v>
      </c>
      <c r="AJ187" s="15" t="s">
        <v>64</v>
      </c>
      <c r="AK187" s="15" t="s">
        <v>86</v>
      </c>
      <c r="AL187" s="15" t="s">
        <v>56</v>
      </c>
      <c r="AM187" s="15">
        <v>4.0</v>
      </c>
      <c r="AN187" s="15" t="s">
        <v>54</v>
      </c>
      <c r="AO187" s="15">
        <v>22.0</v>
      </c>
      <c r="AP187" s="15" t="s">
        <v>67</v>
      </c>
      <c r="AQ187" s="15" t="s">
        <v>363</v>
      </c>
      <c r="AR187" s="15" t="s">
        <v>109</v>
      </c>
      <c r="AS187" s="15" t="s">
        <v>269</v>
      </c>
      <c r="AT187" s="15" t="s">
        <v>364</v>
      </c>
    </row>
    <row r="188">
      <c r="A188" s="14">
        <v>45068.95480553241</v>
      </c>
      <c r="B188" s="15" t="s">
        <v>53</v>
      </c>
      <c r="C188" s="15" t="s">
        <v>53</v>
      </c>
      <c r="D188" s="15" t="s">
        <v>72</v>
      </c>
      <c r="T188" s="22">
        <v>4.0</v>
      </c>
      <c r="W188" s="15" t="s">
        <v>73</v>
      </c>
      <c r="X188" s="15" t="s">
        <v>53</v>
      </c>
      <c r="Y188" s="15">
        <v>4.0</v>
      </c>
      <c r="Z188" s="15">
        <v>1.0</v>
      </c>
      <c r="AA188" s="15">
        <v>1.0</v>
      </c>
      <c r="AB188" s="15">
        <v>2.0</v>
      </c>
      <c r="AC188" s="15">
        <v>3.0</v>
      </c>
      <c r="AD188" s="15">
        <v>1.0</v>
      </c>
      <c r="AE188" s="15">
        <v>4.0</v>
      </c>
      <c r="AF188" s="15">
        <v>3.0</v>
      </c>
      <c r="AG188" s="15">
        <v>1.0</v>
      </c>
      <c r="AH188" s="15">
        <v>2.0</v>
      </c>
      <c r="AI188" s="15">
        <v>2.0</v>
      </c>
      <c r="AJ188" s="15" t="s">
        <v>55</v>
      </c>
      <c r="AK188" s="15" t="s">
        <v>57</v>
      </c>
      <c r="AL188" s="15" t="s">
        <v>92</v>
      </c>
      <c r="AM188" s="15">
        <v>4.0</v>
      </c>
      <c r="AN188" s="15" t="s">
        <v>54</v>
      </c>
      <c r="AO188" s="15">
        <v>54.0</v>
      </c>
      <c r="AP188" s="15" t="s">
        <v>59</v>
      </c>
      <c r="AQ188" s="15" t="s">
        <v>60</v>
      </c>
      <c r="AR188" s="15" t="s">
        <v>140</v>
      </c>
      <c r="AS188" s="15" t="s">
        <v>105</v>
      </c>
      <c r="AT188" s="15" t="s">
        <v>365</v>
      </c>
    </row>
    <row r="189">
      <c r="A189" s="14">
        <v>45068.961961875</v>
      </c>
      <c r="B189" s="15" t="s">
        <v>53</v>
      </c>
      <c r="C189" s="15" t="s">
        <v>53</v>
      </c>
      <c r="D189" s="15">
        <v>-2.0</v>
      </c>
      <c r="E189" s="15" t="s">
        <v>53</v>
      </c>
      <c r="F189" s="15">
        <v>4.0</v>
      </c>
      <c r="G189" s="15">
        <v>1.0</v>
      </c>
      <c r="H189" s="15">
        <v>1.0</v>
      </c>
      <c r="I189" s="15">
        <v>4.0</v>
      </c>
      <c r="J189" s="15">
        <v>3.0</v>
      </c>
      <c r="K189" s="15">
        <v>3.0</v>
      </c>
      <c r="L189" s="15">
        <v>4.0</v>
      </c>
      <c r="M189" s="15">
        <v>1.0</v>
      </c>
      <c r="N189" s="15">
        <v>1.0</v>
      </c>
      <c r="O189" s="15">
        <v>1.0</v>
      </c>
      <c r="P189" s="15">
        <v>1.0</v>
      </c>
      <c r="Q189" s="15" t="s">
        <v>64</v>
      </c>
      <c r="R189" s="15" t="s">
        <v>56</v>
      </c>
      <c r="S189" s="15" t="s">
        <v>55</v>
      </c>
      <c r="T189" s="15">
        <v>4.0</v>
      </c>
      <c r="U189" s="15" t="s">
        <v>65</v>
      </c>
      <c r="W189" s="15" t="s">
        <v>77</v>
      </c>
      <c r="AO189" s="15">
        <v>21.0</v>
      </c>
      <c r="AP189" s="15" t="s">
        <v>67</v>
      </c>
      <c r="AQ189" s="15" t="s">
        <v>366</v>
      </c>
      <c r="AR189" s="15" t="s">
        <v>61</v>
      </c>
      <c r="AS189" s="15" t="s">
        <v>69</v>
      </c>
      <c r="AT189" s="15" t="s">
        <v>367</v>
      </c>
    </row>
    <row r="190">
      <c r="A190" s="14">
        <v>45068.9662719676</v>
      </c>
      <c r="B190" s="15" t="s">
        <v>53</v>
      </c>
      <c r="C190" s="15" t="s">
        <v>53</v>
      </c>
      <c r="D190" s="15">
        <v>-4.0</v>
      </c>
      <c r="E190" s="15" t="s">
        <v>53</v>
      </c>
      <c r="F190" s="15">
        <v>3.0</v>
      </c>
      <c r="G190" s="15">
        <v>3.0</v>
      </c>
      <c r="H190" s="15">
        <v>2.0</v>
      </c>
      <c r="I190" s="15">
        <v>3.0</v>
      </c>
      <c r="J190" s="15">
        <v>2.0</v>
      </c>
      <c r="K190" s="15">
        <v>4.0</v>
      </c>
      <c r="L190" s="15">
        <v>2.0</v>
      </c>
      <c r="M190" s="15">
        <v>1.0</v>
      </c>
      <c r="N190" s="15">
        <v>1.0</v>
      </c>
      <c r="O190" s="15">
        <v>1.0</v>
      </c>
      <c r="P190" s="15">
        <v>1.0</v>
      </c>
      <c r="Q190" s="15" t="s">
        <v>83</v>
      </c>
      <c r="R190" s="15" t="s">
        <v>57</v>
      </c>
      <c r="S190" s="15" t="s">
        <v>55</v>
      </c>
      <c r="T190" s="15">
        <v>4.0</v>
      </c>
      <c r="U190" s="15">
        <v>-1.0</v>
      </c>
      <c r="V190" s="15" t="s">
        <v>368</v>
      </c>
      <c r="AO190" s="15">
        <v>22.0</v>
      </c>
      <c r="AP190" s="15" t="s">
        <v>67</v>
      </c>
      <c r="AQ190" s="15" t="s">
        <v>60</v>
      </c>
      <c r="AR190" s="15" t="s">
        <v>61</v>
      </c>
      <c r="AS190" s="15" t="s">
        <v>160</v>
      </c>
      <c r="AT190" s="15" t="s">
        <v>369</v>
      </c>
      <c r="AU190" s="15" t="s">
        <v>370</v>
      </c>
    </row>
    <row r="191">
      <c r="A191" s="14">
        <v>45068.98220061343</v>
      </c>
      <c r="B191" s="15" t="s">
        <v>53</v>
      </c>
      <c r="C191" s="15" t="s">
        <v>53</v>
      </c>
      <c r="D191" s="15" t="s">
        <v>65</v>
      </c>
      <c r="T191" s="22">
        <v>3.0</v>
      </c>
      <c r="V191" s="15" t="s">
        <v>80</v>
      </c>
      <c r="X191" s="15" t="s">
        <v>53</v>
      </c>
      <c r="Y191" s="15">
        <v>2.0</v>
      </c>
      <c r="Z191" s="15">
        <v>2.0</v>
      </c>
      <c r="AA191" s="15">
        <v>2.0</v>
      </c>
      <c r="AB191" s="15">
        <v>4.0</v>
      </c>
      <c r="AC191" s="15">
        <v>3.0</v>
      </c>
      <c r="AD191" s="15">
        <v>5.0</v>
      </c>
      <c r="AE191" s="15">
        <v>2.0</v>
      </c>
      <c r="AF191" s="15">
        <v>3.0</v>
      </c>
      <c r="AG191" s="15">
        <v>4.0</v>
      </c>
      <c r="AH191" s="15">
        <v>3.0</v>
      </c>
      <c r="AI191" s="15">
        <v>3.0</v>
      </c>
      <c r="AJ191" s="15" t="s">
        <v>55</v>
      </c>
      <c r="AK191" s="15" t="s">
        <v>56</v>
      </c>
      <c r="AL191" s="15" t="s">
        <v>57</v>
      </c>
      <c r="AM191" s="15">
        <v>3.0</v>
      </c>
      <c r="AN191" s="15">
        <v>-1.0</v>
      </c>
      <c r="AO191" s="15">
        <v>25.0</v>
      </c>
      <c r="AP191" s="15" t="s">
        <v>67</v>
      </c>
      <c r="AQ191" s="15" t="s">
        <v>60</v>
      </c>
      <c r="AR191" s="15" t="s">
        <v>140</v>
      </c>
      <c r="AS191" s="15" t="s">
        <v>69</v>
      </c>
      <c r="AT191" s="15" t="s">
        <v>371</v>
      </c>
    </row>
    <row r="192">
      <c r="A192" s="14">
        <v>45068.98420960648</v>
      </c>
      <c r="B192" s="15" t="s">
        <v>53</v>
      </c>
      <c r="C192" s="15" t="s">
        <v>53</v>
      </c>
      <c r="D192" s="15">
        <v>-1.0</v>
      </c>
      <c r="E192" s="15" t="s">
        <v>53</v>
      </c>
      <c r="F192" s="15">
        <v>4.0</v>
      </c>
      <c r="G192" s="15">
        <v>1.0</v>
      </c>
      <c r="H192" s="15">
        <v>1.0</v>
      </c>
      <c r="I192" s="15">
        <v>4.0</v>
      </c>
      <c r="J192" s="15">
        <v>3.0</v>
      </c>
      <c r="K192" s="15">
        <v>5.0</v>
      </c>
      <c r="L192" s="15">
        <v>1.0</v>
      </c>
      <c r="M192" s="15">
        <v>3.0</v>
      </c>
      <c r="N192" s="15">
        <v>3.0</v>
      </c>
      <c r="O192" s="15">
        <v>3.0</v>
      </c>
      <c r="P192" s="15">
        <v>3.0</v>
      </c>
      <c r="Q192" s="15" t="s">
        <v>57</v>
      </c>
      <c r="R192" s="15" t="s">
        <v>64</v>
      </c>
      <c r="S192" s="15" t="s">
        <v>55</v>
      </c>
      <c r="T192" s="15">
        <v>5.0</v>
      </c>
      <c r="U192" s="15">
        <v>-3.0</v>
      </c>
      <c r="V192" s="15" t="s">
        <v>58</v>
      </c>
      <c r="AO192" s="15">
        <v>22.0</v>
      </c>
      <c r="AP192" s="15" t="s">
        <v>67</v>
      </c>
      <c r="AQ192" s="15" t="s">
        <v>98</v>
      </c>
      <c r="AR192" s="15" t="s">
        <v>61</v>
      </c>
      <c r="AS192" s="15" t="s">
        <v>78</v>
      </c>
      <c r="AT192" s="15" t="s">
        <v>372</v>
      </c>
    </row>
    <row r="193">
      <c r="A193" s="14">
        <v>45069.00222282407</v>
      </c>
      <c r="B193" s="15" t="s">
        <v>53</v>
      </c>
      <c r="C193" s="15" t="s">
        <v>53</v>
      </c>
      <c r="D193" s="15">
        <v>-5.0</v>
      </c>
      <c r="E193" s="15" t="s">
        <v>53</v>
      </c>
      <c r="F193" s="15">
        <v>2.0</v>
      </c>
      <c r="G193" s="15">
        <v>3.0</v>
      </c>
      <c r="H193" s="15">
        <v>4.0</v>
      </c>
      <c r="I193" s="15">
        <v>3.0</v>
      </c>
      <c r="J193" s="15">
        <v>1.0</v>
      </c>
      <c r="K193" s="15">
        <v>2.0</v>
      </c>
      <c r="L193" s="15">
        <v>2.0</v>
      </c>
      <c r="M193" s="15">
        <v>2.0</v>
      </c>
      <c r="N193" s="15">
        <v>1.0</v>
      </c>
      <c r="O193" s="15">
        <v>1.0</v>
      </c>
      <c r="P193" s="15">
        <v>1.0</v>
      </c>
      <c r="Q193" s="15" t="s">
        <v>83</v>
      </c>
      <c r="R193" s="15" t="s">
        <v>55</v>
      </c>
      <c r="S193" s="15" t="s">
        <v>57</v>
      </c>
      <c r="T193" s="15">
        <v>4.0</v>
      </c>
      <c r="U193" s="15">
        <v>-2.0</v>
      </c>
      <c r="V193" s="15" t="s">
        <v>80</v>
      </c>
      <c r="AO193" s="15">
        <v>24.0</v>
      </c>
      <c r="AP193" s="15" t="s">
        <v>59</v>
      </c>
      <c r="AQ193" s="15" t="s">
        <v>162</v>
      </c>
      <c r="AR193" s="15" t="s">
        <v>109</v>
      </c>
      <c r="AS193" s="15" t="s">
        <v>373</v>
      </c>
      <c r="AT193" s="15" t="s">
        <v>283</v>
      </c>
      <c r="AU193" s="15" t="s">
        <v>374</v>
      </c>
    </row>
    <row r="194">
      <c r="A194" s="14">
        <v>45069.00906765046</v>
      </c>
      <c r="B194" s="15" t="s">
        <v>53</v>
      </c>
      <c r="C194" s="15" t="s">
        <v>53</v>
      </c>
      <c r="D194" s="15">
        <v>-3.0</v>
      </c>
      <c r="E194" s="15" t="s">
        <v>53</v>
      </c>
      <c r="F194" s="15">
        <v>3.0</v>
      </c>
      <c r="G194" s="15">
        <v>4.0</v>
      </c>
      <c r="H194" s="15">
        <v>4.0</v>
      </c>
      <c r="I194" s="15">
        <v>3.0</v>
      </c>
      <c r="J194" s="15">
        <v>2.0</v>
      </c>
      <c r="K194" s="15">
        <v>2.0</v>
      </c>
      <c r="L194" s="15">
        <v>4.0</v>
      </c>
      <c r="M194" s="15">
        <v>4.0</v>
      </c>
      <c r="N194" s="15">
        <v>2.0</v>
      </c>
      <c r="O194" s="15">
        <v>1.0</v>
      </c>
      <c r="P194" s="15">
        <v>2.0</v>
      </c>
      <c r="Q194" s="15" t="s">
        <v>55</v>
      </c>
      <c r="R194" s="15" t="s">
        <v>86</v>
      </c>
      <c r="S194" s="15" t="s">
        <v>57</v>
      </c>
      <c r="T194" s="15">
        <v>4.0</v>
      </c>
      <c r="U194" s="15">
        <v>-3.0</v>
      </c>
      <c r="V194" s="15" t="s">
        <v>80</v>
      </c>
      <c r="AO194" s="15">
        <v>22.0</v>
      </c>
      <c r="AP194" s="15" t="s">
        <v>67</v>
      </c>
      <c r="AQ194" s="15" t="s">
        <v>60</v>
      </c>
      <c r="AR194" s="15" t="s">
        <v>61</v>
      </c>
      <c r="AS194" s="15" t="s">
        <v>78</v>
      </c>
      <c r="AT194" s="15" t="s">
        <v>375</v>
      </c>
    </row>
    <row r="195">
      <c r="A195" s="14">
        <v>45069.022457824074</v>
      </c>
      <c r="B195" s="15" t="s">
        <v>53</v>
      </c>
      <c r="C195" s="15" t="s">
        <v>53</v>
      </c>
      <c r="D195" s="15" t="s">
        <v>85</v>
      </c>
      <c r="T195" s="22">
        <v>4.0</v>
      </c>
      <c r="W195" s="15" t="s">
        <v>113</v>
      </c>
      <c r="X195" s="15" t="s">
        <v>53</v>
      </c>
      <c r="Y195" s="15">
        <v>2.0</v>
      </c>
      <c r="Z195" s="15">
        <v>3.0</v>
      </c>
      <c r="AA195" s="15">
        <v>3.0</v>
      </c>
      <c r="AB195" s="15">
        <v>4.0</v>
      </c>
      <c r="AC195" s="15">
        <v>3.0</v>
      </c>
      <c r="AD195" s="15">
        <v>5.0</v>
      </c>
      <c r="AE195" s="15">
        <v>1.0</v>
      </c>
      <c r="AF195" s="15">
        <v>5.0</v>
      </c>
      <c r="AG195" s="15">
        <v>4.0</v>
      </c>
      <c r="AH195" s="15">
        <v>5.0</v>
      </c>
      <c r="AI195" s="15">
        <v>5.0</v>
      </c>
      <c r="AJ195" s="15" t="s">
        <v>64</v>
      </c>
      <c r="AK195" s="15" t="s">
        <v>55</v>
      </c>
      <c r="AL195" s="15" t="s">
        <v>107</v>
      </c>
      <c r="AM195" s="15">
        <v>4.0</v>
      </c>
      <c r="AN195" s="15" t="s">
        <v>72</v>
      </c>
      <c r="AO195" s="15">
        <v>20.0</v>
      </c>
      <c r="AP195" s="15" t="s">
        <v>67</v>
      </c>
      <c r="AQ195" s="15" t="s">
        <v>60</v>
      </c>
      <c r="AR195" s="15" t="s">
        <v>109</v>
      </c>
      <c r="AS195" s="15" t="s">
        <v>69</v>
      </c>
      <c r="AT195" s="15" t="s">
        <v>376</v>
      </c>
    </row>
    <row r="196">
      <c r="A196" s="14">
        <v>45069.026585451385</v>
      </c>
      <c r="B196" s="15" t="s">
        <v>53</v>
      </c>
      <c r="C196" s="15" t="s">
        <v>53</v>
      </c>
      <c r="D196" s="15" t="s">
        <v>85</v>
      </c>
      <c r="T196" s="22">
        <v>5.0</v>
      </c>
      <c r="W196" s="15" t="s">
        <v>73</v>
      </c>
      <c r="X196" s="15" t="s">
        <v>53</v>
      </c>
      <c r="Y196" s="15">
        <v>4.0</v>
      </c>
      <c r="Z196" s="15">
        <v>1.0</v>
      </c>
      <c r="AA196" s="15">
        <v>2.0</v>
      </c>
      <c r="AB196" s="15">
        <v>5.0</v>
      </c>
      <c r="AC196" s="15">
        <v>3.0</v>
      </c>
      <c r="AD196" s="15">
        <v>3.0</v>
      </c>
      <c r="AE196" s="15">
        <v>2.0</v>
      </c>
      <c r="AF196" s="15">
        <v>2.0</v>
      </c>
      <c r="AG196" s="15">
        <v>3.0</v>
      </c>
      <c r="AH196" s="15">
        <v>3.0</v>
      </c>
      <c r="AI196" s="15">
        <v>3.0</v>
      </c>
      <c r="AJ196" s="15" t="s">
        <v>57</v>
      </c>
      <c r="AK196" s="15" t="s">
        <v>86</v>
      </c>
      <c r="AL196" s="15" t="s">
        <v>83</v>
      </c>
      <c r="AM196" s="15">
        <v>5.0</v>
      </c>
      <c r="AN196" s="15" t="s">
        <v>54</v>
      </c>
      <c r="AO196" s="15">
        <v>19.0</v>
      </c>
      <c r="AP196" s="15" t="s">
        <v>67</v>
      </c>
      <c r="AQ196" s="15" t="s">
        <v>60</v>
      </c>
      <c r="AR196" s="15" t="s">
        <v>61</v>
      </c>
      <c r="AS196" s="15" t="s">
        <v>93</v>
      </c>
      <c r="AT196" s="15" t="s">
        <v>377</v>
      </c>
    </row>
    <row r="197">
      <c r="A197" s="14">
        <v>45069.03069078704</v>
      </c>
      <c r="B197" s="15" t="s">
        <v>53</v>
      </c>
      <c r="C197" s="15" t="s">
        <v>53</v>
      </c>
      <c r="D197" s="15" t="s">
        <v>65</v>
      </c>
      <c r="T197" s="22">
        <v>5.0</v>
      </c>
      <c r="V197" s="15" t="s">
        <v>58</v>
      </c>
      <c r="X197" s="15" t="s">
        <v>53</v>
      </c>
      <c r="Y197" s="15">
        <v>4.0</v>
      </c>
      <c r="Z197" s="15">
        <v>3.0</v>
      </c>
      <c r="AA197" s="15">
        <v>4.0</v>
      </c>
      <c r="AB197" s="15">
        <v>4.0</v>
      </c>
      <c r="AC197" s="15">
        <v>3.0</v>
      </c>
      <c r="AD197" s="15">
        <v>5.0</v>
      </c>
      <c r="AE197" s="15">
        <v>2.0</v>
      </c>
      <c r="AF197" s="15">
        <v>2.0</v>
      </c>
      <c r="AG197" s="15">
        <v>4.0</v>
      </c>
      <c r="AH197" s="15">
        <v>4.0</v>
      </c>
      <c r="AI197" s="15">
        <v>4.0</v>
      </c>
      <c r="AJ197" s="15" t="s">
        <v>64</v>
      </c>
      <c r="AK197" s="15" t="s">
        <v>57</v>
      </c>
      <c r="AL197" s="15" t="s">
        <v>55</v>
      </c>
      <c r="AM197" s="15">
        <v>5.0</v>
      </c>
      <c r="AN197" s="15">
        <v>-2.0</v>
      </c>
      <c r="AO197" s="15">
        <v>22.0</v>
      </c>
      <c r="AP197" s="15" t="s">
        <v>67</v>
      </c>
      <c r="AQ197" s="15" t="s">
        <v>60</v>
      </c>
      <c r="AR197" s="15" t="s">
        <v>61</v>
      </c>
      <c r="AS197" s="15" t="s">
        <v>78</v>
      </c>
      <c r="AT197" s="15" t="s">
        <v>378</v>
      </c>
    </row>
    <row r="198">
      <c r="A198" s="14">
        <v>45069.032181608796</v>
      </c>
      <c r="B198" s="15" t="s">
        <v>53</v>
      </c>
      <c r="C198" s="15" t="s">
        <v>53</v>
      </c>
      <c r="D198" s="15" t="s">
        <v>72</v>
      </c>
      <c r="T198" s="22">
        <v>4.0</v>
      </c>
      <c r="W198" s="15" t="s">
        <v>77</v>
      </c>
      <c r="X198" s="15" t="s">
        <v>53</v>
      </c>
      <c r="Y198" s="15">
        <v>5.0</v>
      </c>
      <c r="Z198" s="15">
        <v>2.0</v>
      </c>
      <c r="AA198" s="15">
        <v>2.0</v>
      </c>
      <c r="AB198" s="15">
        <v>4.0</v>
      </c>
      <c r="AC198" s="15">
        <v>5.0</v>
      </c>
      <c r="AD198" s="15">
        <v>2.0</v>
      </c>
      <c r="AE198" s="15">
        <v>3.0</v>
      </c>
      <c r="AF198" s="15">
        <v>3.0</v>
      </c>
      <c r="AG198" s="15">
        <v>1.0</v>
      </c>
      <c r="AH198" s="15">
        <v>1.0</v>
      </c>
      <c r="AI198" s="15">
        <v>1.0</v>
      </c>
      <c r="AJ198" s="15" t="s">
        <v>55</v>
      </c>
      <c r="AK198" s="15" t="s">
        <v>92</v>
      </c>
      <c r="AL198" s="15" t="s">
        <v>57</v>
      </c>
      <c r="AM198" s="15">
        <v>4.0</v>
      </c>
      <c r="AN198" s="15" t="s">
        <v>72</v>
      </c>
      <c r="AO198" s="15">
        <v>19.0</v>
      </c>
      <c r="AP198" s="15" t="s">
        <v>67</v>
      </c>
      <c r="AQ198" s="15" t="s">
        <v>60</v>
      </c>
      <c r="AR198" s="15" t="s">
        <v>61</v>
      </c>
      <c r="AS198" s="15" t="s">
        <v>78</v>
      </c>
      <c r="AT198" s="15" t="s">
        <v>379</v>
      </c>
      <c r="AU198" s="15" t="s">
        <v>129</v>
      </c>
    </row>
    <row r="199">
      <c r="A199" s="14">
        <v>45069.0359447338</v>
      </c>
      <c r="B199" s="15" t="s">
        <v>53</v>
      </c>
      <c r="C199" s="15" t="s">
        <v>53</v>
      </c>
      <c r="D199" s="15" t="s">
        <v>104</v>
      </c>
      <c r="T199" s="22">
        <v>3.0</v>
      </c>
      <c r="W199" s="15" t="s">
        <v>108</v>
      </c>
      <c r="X199" s="15" t="s">
        <v>53</v>
      </c>
      <c r="Y199" s="15">
        <v>5.0</v>
      </c>
      <c r="Z199" s="15">
        <v>1.0</v>
      </c>
      <c r="AA199" s="15">
        <v>1.0</v>
      </c>
      <c r="AB199" s="15">
        <v>5.0</v>
      </c>
      <c r="AC199" s="15">
        <v>3.0</v>
      </c>
      <c r="AD199" s="15">
        <v>4.0</v>
      </c>
      <c r="AE199" s="15">
        <v>3.0</v>
      </c>
      <c r="AF199" s="15">
        <v>3.0</v>
      </c>
      <c r="AG199" s="15">
        <v>3.0</v>
      </c>
      <c r="AH199" s="15">
        <v>3.0</v>
      </c>
      <c r="AI199" s="15">
        <v>2.0</v>
      </c>
      <c r="AJ199" s="15" t="s">
        <v>64</v>
      </c>
      <c r="AK199" s="15" t="s">
        <v>56</v>
      </c>
      <c r="AL199" s="15" t="s">
        <v>86</v>
      </c>
      <c r="AM199" s="15">
        <v>3.0</v>
      </c>
      <c r="AN199" s="15" t="s">
        <v>104</v>
      </c>
      <c r="AO199" s="15">
        <v>21.0</v>
      </c>
      <c r="AP199" s="15" t="s">
        <v>67</v>
      </c>
      <c r="AQ199" s="15" t="s">
        <v>380</v>
      </c>
      <c r="AR199" s="15" t="s">
        <v>109</v>
      </c>
      <c r="AS199" s="15" t="s">
        <v>381</v>
      </c>
      <c r="AT199" s="15" t="s">
        <v>382</v>
      </c>
    </row>
    <row r="200">
      <c r="A200" s="14">
        <v>45069.04122601852</v>
      </c>
      <c r="B200" s="15" t="s">
        <v>53</v>
      </c>
      <c r="C200" s="15" t="s">
        <v>53</v>
      </c>
      <c r="D200" s="15">
        <v>-3.0</v>
      </c>
      <c r="E200" s="15" t="s">
        <v>53</v>
      </c>
      <c r="F200" s="15">
        <v>4.0</v>
      </c>
      <c r="G200" s="15">
        <v>2.0</v>
      </c>
      <c r="H200" s="15">
        <v>3.0</v>
      </c>
      <c r="I200" s="15">
        <v>4.0</v>
      </c>
      <c r="J200" s="15">
        <v>2.0</v>
      </c>
      <c r="K200" s="15">
        <v>3.0</v>
      </c>
      <c r="L200" s="15">
        <v>2.0</v>
      </c>
      <c r="M200" s="15">
        <v>2.0</v>
      </c>
      <c r="N200" s="15">
        <v>2.0</v>
      </c>
      <c r="O200" s="15">
        <v>2.0</v>
      </c>
      <c r="P200" s="15">
        <v>3.0</v>
      </c>
      <c r="Q200" s="15" t="s">
        <v>55</v>
      </c>
      <c r="R200" s="15" t="s">
        <v>83</v>
      </c>
      <c r="S200" s="15" t="s">
        <v>56</v>
      </c>
      <c r="T200" s="15">
        <v>4.0</v>
      </c>
      <c r="U200" s="15">
        <v>-2.0</v>
      </c>
      <c r="V200" s="15" t="s">
        <v>58</v>
      </c>
      <c r="AO200" s="15">
        <v>23.0</v>
      </c>
      <c r="AP200" s="15" t="s">
        <v>67</v>
      </c>
      <c r="AQ200" s="15" t="s">
        <v>120</v>
      </c>
      <c r="AR200" s="15" t="s">
        <v>61</v>
      </c>
      <c r="AS200" s="15" t="s">
        <v>99</v>
      </c>
      <c r="AT200" s="15" t="s">
        <v>383</v>
      </c>
    </row>
    <row r="201">
      <c r="A201" s="14">
        <v>45069.073719699074</v>
      </c>
      <c r="B201" s="15" t="s">
        <v>53</v>
      </c>
      <c r="C201" s="15" t="s">
        <v>53</v>
      </c>
      <c r="D201" s="15">
        <v>-4.0</v>
      </c>
      <c r="E201" s="15" t="s">
        <v>53</v>
      </c>
      <c r="F201" s="15">
        <v>3.0</v>
      </c>
      <c r="G201" s="15">
        <v>4.0</v>
      </c>
      <c r="H201" s="15">
        <v>2.0</v>
      </c>
      <c r="I201" s="15">
        <v>4.0</v>
      </c>
      <c r="J201" s="15">
        <v>2.0</v>
      </c>
      <c r="K201" s="15">
        <v>1.0</v>
      </c>
      <c r="L201" s="15">
        <v>4.0</v>
      </c>
      <c r="M201" s="15">
        <v>4.0</v>
      </c>
      <c r="N201" s="15">
        <v>1.0</v>
      </c>
      <c r="O201" s="15">
        <v>1.0</v>
      </c>
      <c r="P201" s="15">
        <v>1.0</v>
      </c>
      <c r="Q201" s="15" t="s">
        <v>55</v>
      </c>
      <c r="R201" s="15" t="s">
        <v>57</v>
      </c>
      <c r="S201" s="15" t="s">
        <v>56</v>
      </c>
      <c r="T201" s="15">
        <v>5.0</v>
      </c>
      <c r="U201" s="15">
        <v>-3.0</v>
      </c>
      <c r="V201" s="15" t="s">
        <v>80</v>
      </c>
      <c r="AO201" s="15">
        <v>22.0</v>
      </c>
      <c r="AP201" s="15" t="s">
        <v>67</v>
      </c>
      <c r="AQ201" s="15" t="s">
        <v>60</v>
      </c>
      <c r="AR201" s="15" t="s">
        <v>61</v>
      </c>
      <c r="AS201" s="15" t="s">
        <v>69</v>
      </c>
      <c r="AT201" s="15" t="s">
        <v>384</v>
      </c>
    </row>
    <row r="202">
      <c r="A202" s="14">
        <v>45069.08667783564</v>
      </c>
      <c r="B202" s="15" t="s">
        <v>53</v>
      </c>
      <c r="C202" s="15" t="s">
        <v>53</v>
      </c>
      <c r="D202" s="15" t="s">
        <v>72</v>
      </c>
      <c r="T202" s="22">
        <v>5.0</v>
      </c>
      <c r="W202" s="15" t="s">
        <v>73</v>
      </c>
      <c r="X202" s="15" t="s">
        <v>53</v>
      </c>
      <c r="Y202" s="15">
        <v>4.0</v>
      </c>
      <c r="Z202" s="15">
        <v>2.0</v>
      </c>
      <c r="AA202" s="15">
        <v>2.0</v>
      </c>
      <c r="AB202" s="15">
        <v>3.0</v>
      </c>
      <c r="AC202" s="15">
        <v>4.0</v>
      </c>
      <c r="AD202" s="15">
        <v>2.0</v>
      </c>
      <c r="AE202" s="15">
        <v>3.0</v>
      </c>
      <c r="AF202" s="15">
        <v>2.0</v>
      </c>
      <c r="AG202" s="15">
        <v>3.0</v>
      </c>
      <c r="AH202" s="15">
        <v>2.0</v>
      </c>
      <c r="AI202" s="15">
        <v>2.0</v>
      </c>
      <c r="AJ202" s="15" t="s">
        <v>64</v>
      </c>
      <c r="AK202" s="15" t="s">
        <v>86</v>
      </c>
      <c r="AL202" s="15" t="s">
        <v>55</v>
      </c>
      <c r="AM202" s="15">
        <v>5.0</v>
      </c>
      <c r="AN202" s="15" t="s">
        <v>54</v>
      </c>
      <c r="AO202" s="15">
        <v>20.0</v>
      </c>
      <c r="AP202" s="15" t="s">
        <v>59</v>
      </c>
      <c r="AQ202" s="15" t="s">
        <v>60</v>
      </c>
      <c r="AR202" s="15" t="s">
        <v>61</v>
      </c>
      <c r="AS202" s="15" t="s">
        <v>69</v>
      </c>
      <c r="AT202" s="15" t="s">
        <v>385</v>
      </c>
    </row>
    <row r="203">
      <c r="A203" s="14">
        <v>45069.100562430554</v>
      </c>
      <c r="B203" s="15" t="s">
        <v>53</v>
      </c>
      <c r="C203" s="15" t="s">
        <v>53</v>
      </c>
      <c r="D203" s="15" t="s">
        <v>85</v>
      </c>
      <c r="T203" s="22">
        <v>4.0</v>
      </c>
      <c r="V203" s="15" t="s">
        <v>80</v>
      </c>
      <c r="X203" s="15" t="s">
        <v>53</v>
      </c>
      <c r="Y203" s="15">
        <v>2.0</v>
      </c>
      <c r="Z203" s="15">
        <v>4.0</v>
      </c>
      <c r="AA203" s="15">
        <v>4.0</v>
      </c>
      <c r="AB203" s="15">
        <v>5.0</v>
      </c>
      <c r="AC203" s="15">
        <v>2.0</v>
      </c>
      <c r="AD203" s="15">
        <v>4.0</v>
      </c>
      <c r="AE203" s="15">
        <v>2.0</v>
      </c>
      <c r="AF203" s="15">
        <v>3.0</v>
      </c>
      <c r="AG203" s="15">
        <v>3.0</v>
      </c>
      <c r="AH203" s="15">
        <v>3.0</v>
      </c>
      <c r="AI203" s="15">
        <v>4.0</v>
      </c>
      <c r="AJ203" s="15" t="s">
        <v>55</v>
      </c>
      <c r="AK203" s="15" t="s">
        <v>83</v>
      </c>
      <c r="AL203" s="15" t="s">
        <v>56</v>
      </c>
      <c r="AM203" s="15">
        <v>4.0</v>
      </c>
      <c r="AN203" s="15">
        <v>-3.0</v>
      </c>
      <c r="AO203" s="15">
        <v>24.0</v>
      </c>
      <c r="AP203" s="15" t="s">
        <v>67</v>
      </c>
      <c r="AQ203" s="15" t="s">
        <v>60</v>
      </c>
      <c r="AR203" s="15" t="s">
        <v>61</v>
      </c>
      <c r="AS203" s="15" t="s">
        <v>81</v>
      </c>
      <c r="AT203" s="15" t="s">
        <v>386</v>
      </c>
    </row>
    <row r="204">
      <c r="A204" s="14">
        <v>45069.106716574075</v>
      </c>
      <c r="B204" s="15" t="s">
        <v>53</v>
      </c>
      <c r="C204" s="15" t="s">
        <v>53</v>
      </c>
      <c r="D204" s="15" t="s">
        <v>54</v>
      </c>
      <c r="T204" s="22">
        <v>5.0</v>
      </c>
      <c r="W204" s="15" t="s">
        <v>77</v>
      </c>
      <c r="X204" s="15" t="s">
        <v>53</v>
      </c>
      <c r="Y204" s="15">
        <v>5.0</v>
      </c>
      <c r="Z204" s="15">
        <v>1.0</v>
      </c>
      <c r="AA204" s="15">
        <v>1.0</v>
      </c>
      <c r="AB204" s="15">
        <v>5.0</v>
      </c>
      <c r="AC204" s="15">
        <v>5.0</v>
      </c>
      <c r="AD204" s="15">
        <v>2.0</v>
      </c>
      <c r="AE204" s="15">
        <v>2.0</v>
      </c>
      <c r="AF204" s="15">
        <v>4.0</v>
      </c>
      <c r="AG204" s="15">
        <v>3.0</v>
      </c>
      <c r="AH204" s="15">
        <v>3.0</v>
      </c>
      <c r="AI204" s="15">
        <v>5.0</v>
      </c>
      <c r="AJ204" s="15" t="s">
        <v>55</v>
      </c>
      <c r="AK204" s="15" t="s">
        <v>56</v>
      </c>
      <c r="AL204" s="15" t="s">
        <v>57</v>
      </c>
      <c r="AM204" s="15">
        <v>5.0</v>
      </c>
      <c r="AN204" s="15" t="s">
        <v>54</v>
      </c>
      <c r="AO204" s="15">
        <v>21.0</v>
      </c>
      <c r="AP204" s="15" t="s">
        <v>67</v>
      </c>
      <c r="AQ204" s="15" t="s">
        <v>60</v>
      </c>
      <c r="AR204" s="15" t="s">
        <v>61</v>
      </c>
      <c r="AS204" s="15" t="s">
        <v>125</v>
      </c>
      <c r="AT204" s="15" t="s">
        <v>387</v>
      </c>
      <c r="AU204" s="15" t="s">
        <v>129</v>
      </c>
    </row>
    <row r="205">
      <c r="A205" s="14">
        <v>45069.14634502315</v>
      </c>
      <c r="B205" s="15" t="s">
        <v>53</v>
      </c>
      <c r="C205" s="15" t="s">
        <v>53</v>
      </c>
      <c r="D205" s="15" t="s">
        <v>85</v>
      </c>
      <c r="T205" s="22">
        <v>2.0</v>
      </c>
      <c r="V205" s="15" t="s">
        <v>66</v>
      </c>
      <c r="X205" s="15" t="s">
        <v>53</v>
      </c>
      <c r="Y205" s="15">
        <v>3.0</v>
      </c>
      <c r="Z205" s="15">
        <v>3.0</v>
      </c>
      <c r="AA205" s="15">
        <v>2.0</v>
      </c>
      <c r="AB205" s="15">
        <v>5.0</v>
      </c>
      <c r="AC205" s="15">
        <v>2.0</v>
      </c>
      <c r="AD205" s="15">
        <v>5.0</v>
      </c>
      <c r="AE205" s="15">
        <v>1.0</v>
      </c>
      <c r="AF205" s="15">
        <v>4.0</v>
      </c>
      <c r="AG205" s="15">
        <v>4.0</v>
      </c>
      <c r="AH205" s="15">
        <v>4.0</v>
      </c>
      <c r="AI205" s="15">
        <v>4.0</v>
      </c>
      <c r="AJ205" s="15" t="s">
        <v>64</v>
      </c>
      <c r="AK205" s="15" t="s">
        <v>55</v>
      </c>
      <c r="AL205" s="15" t="s">
        <v>57</v>
      </c>
      <c r="AM205" s="15">
        <v>2.0</v>
      </c>
      <c r="AN205" s="15">
        <v>-4.0</v>
      </c>
      <c r="AO205" s="15">
        <v>23.0</v>
      </c>
      <c r="AP205" s="15" t="s">
        <v>67</v>
      </c>
      <c r="AQ205" s="15" t="s">
        <v>388</v>
      </c>
      <c r="AR205" s="15" t="s">
        <v>140</v>
      </c>
      <c r="AS205" s="15" t="s">
        <v>78</v>
      </c>
      <c r="AT205" s="15" t="s">
        <v>389</v>
      </c>
    </row>
    <row r="206">
      <c r="A206" s="14">
        <v>45069.27528447917</v>
      </c>
      <c r="B206" s="15" t="s">
        <v>53</v>
      </c>
      <c r="C206" s="15" t="s">
        <v>53</v>
      </c>
      <c r="D206" s="15">
        <v>-5.0</v>
      </c>
      <c r="E206" s="15" t="s">
        <v>53</v>
      </c>
      <c r="F206" s="15">
        <v>3.0</v>
      </c>
      <c r="G206" s="15">
        <v>2.0</v>
      </c>
      <c r="H206" s="15">
        <v>3.0</v>
      </c>
      <c r="I206" s="15">
        <v>2.0</v>
      </c>
      <c r="J206" s="15">
        <v>4.0</v>
      </c>
      <c r="K206" s="15">
        <v>3.0</v>
      </c>
      <c r="L206" s="15">
        <v>3.0</v>
      </c>
      <c r="M206" s="15">
        <v>2.0</v>
      </c>
      <c r="N206" s="15">
        <v>2.0</v>
      </c>
      <c r="O206" s="15">
        <v>1.0</v>
      </c>
      <c r="P206" s="15">
        <v>2.0</v>
      </c>
      <c r="Q206" s="15" t="s">
        <v>57</v>
      </c>
      <c r="R206" s="15" t="s">
        <v>83</v>
      </c>
      <c r="S206" s="15" t="s">
        <v>86</v>
      </c>
      <c r="T206" s="15">
        <v>4.0</v>
      </c>
      <c r="U206" s="15">
        <v>-5.0</v>
      </c>
      <c r="V206" s="15" t="s">
        <v>58</v>
      </c>
      <c r="AO206" s="15">
        <v>19.0</v>
      </c>
      <c r="AP206" s="15" t="s">
        <v>59</v>
      </c>
      <c r="AQ206" s="15" t="s">
        <v>60</v>
      </c>
      <c r="AR206" s="15" t="s">
        <v>109</v>
      </c>
      <c r="AS206" s="15" t="s">
        <v>93</v>
      </c>
      <c r="AT206" s="15" t="s">
        <v>390</v>
      </c>
    </row>
    <row r="207">
      <c r="A207" s="14">
        <v>45069.30164479167</v>
      </c>
      <c r="B207" s="15" t="s">
        <v>53</v>
      </c>
      <c r="C207" s="15" t="s">
        <v>53</v>
      </c>
      <c r="D207" s="15" t="s">
        <v>104</v>
      </c>
      <c r="T207" s="22">
        <v>3.0</v>
      </c>
      <c r="V207" s="15" t="s">
        <v>66</v>
      </c>
      <c r="X207" s="15" t="s">
        <v>97</v>
      </c>
      <c r="Y207" s="15">
        <v>3.0</v>
      </c>
      <c r="Z207" s="15">
        <v>3.0</v>
      </c>
      <c r="AA207" s="15">
        <v>2.0</v>
      </c>
      <c r="AB207" s="15">
        <v>2.0</v>
      </c>
      <c r="AC207" s="15">
        <v>1.0</v>
      </c>
      <c r="AD207" s="15">
        <v>4.0</v>
      </c>
      <c r="AE207" s="15">
        <v>1.0</v>
      </c>
      <c r="AF207" s="15">
        <v>4.0</v>
      </c>
      <c r="AG207" s="15">
        <v>4.0</v>
      </c>
      <c r="AH207" s="15">
        <v>5.0</v>
      </c>
      <c r="AI207" s="15">
        <v>5.0</v>
      </c>
      <c r="AJ207" s="15" t="s">
        <v>55</v>
      </c>
      <c r="AK207" s="15" t="s">
        <v>56</v>
      </c>
      <c r="AL207" s="15" t="s">
        <v>83</v>
      </c>
      <c r="AM207" s="15">
        <v>3.0</v>
      </c>
      <c r="AN207" s="15">
        <v>-3.0</v>
      </c>
      <c r="AO207" s="15">
        <v>25.0</v>
      </c>
      <c r="AP207" s="15" t="s">
        <v>59</v>
      </c>
      <c r="AQ207" s="15" t="s">
        <v>391</v>
      </c>
      <c r="AR207" s="15" t="s">
        <v>61</v>
      </c>
      <c r="AS207" s="15" t="s">
        <v>93</v>
      </c>
      <c r="AT207" s="15" t="s">
        <v>392</v>
      </c>
    </row>
    <row r="208">
      <c r="A208" s="14">
        <v>45069.37739646991</v>
      </c>
      <c r="B208" s="15" t="s">
        <v>53</v>
      </c>
      <c r="C208" s="15" t="s">
        <v>53</v>
      </c>
      <c r="D208" s="15">
        <v>-4.0</v>
      </c>
      <c r="E208" s="15" t="s">
        <v>53</v>
      </c>
      <c r="F208" s="15">
        <v>2.0</v>
      </c>
      <c r="G208" s="15">
        <v>4.0</v>
      </c>
      <c r="H208" s="15">
        <v>4.0</v>
      </c>
      <c r="I208" s="15">
        <v>5.0</v>
      </c>
      <c r="J208" s="15">
        <v>3.0</v>
      </c>
      <c r="K208" s="15">
        <v>5.0</v>
      </c>
      <c r="L208" s="15">
        <v>1.0</v>
      </c>
      <c r="M208" s="15">
        <v>4.0</v>
      </c>
      <c r="N208" s="15">
        <v>4.0</v>
      </c>
      <c r="O208" s="15">
        <v>4.0</v>
      </c>
      <c r="P208" s="15">
        <v>4.0</v>
      </c>
      <c r="Q208" s="15" t="s">
        <v>55</v>
      </c>
      <c r="R208" s="15" t="s">
        <v>56</v>
      </c>
      <c r="S208" s="15" t="s">
        <v>83</v>
      </c>
      <c r="T208" s="15">
        <v>4.0</v>
      </c>
      <c r="U208" s="15">
        <v>-4.0</v>
      </c>
      <c r="V208" s="15" t="s">
        <v>80</v>
      </c>
      <c r="AO208" s="15">
        <v>28.0</v>
      </c>
      <c r="AP208" s="15" t="s">
        <v>67</v>
      </c>
      <c r="AQ208" s="15" t="s">
        <v>60</v>
      </c>
      <c r="AR208" s="15" t="s">
        <v>61</v>
      </c>
      <c r="AS208" s="15" t="s">
        <v>352</v>
      </c>
      <c r="AT208" s="15" t="s">
        <v>393</v>
      </c>
    </row>
    <row r="209">
      <c r="A209" s="14">
        <v>45069.40157494213</v>
      </c>
      <c r="B209" s="15" t="s">
        <v>53</v>
      </c>
      <c r="C209" s="15" t="s">
        <v>53</v>
      </c>
      <c r="D209" s="15">
        <v>-1.0</v>
      </c>
      <c r="E209" s="15" t="s">
        <v>53</v>
      </c>
      <c r="F209" s="15">
        <v>3.0</v>
      </c>
      <c r="G209" s="15">
        <v>4.0</v>
      </c>
      <c r="H209" s="15">
        <v>3.0</v>
      </c>
      <c r="I209" s="15">
        <v>5.0</v>
      </c>
      <c r="J209" s="15">
        <v>2.0</v>
      </c>
      <c r="K209" s="15">
        <v>4.0</v>
      </c>
      <c r="L209" s="15">
        <v>1.0</v>
      </c>
      <c r="M209" s="15">
        <v>3.0</v>
      </c>
      <c r="N209" s="15">
        <v>4.0</v>
      </c>
      <c r="O209" s="15">
        <v>4.0</v>
      </c>
      <c r="P209" s="15">
        <v>4.0</v>
      </c>
      <c r="Q209" s="15" t="s">
        <v>55</v>
      </c>
      <c r="R209" s="15" t="s">
        <v>56</v>
      </c>
      <c r="S209" s="15" t="s">
        <v>92</v>
      </c>
      <c r="T209" s="15">
        <v>3.0</v>
      </c>
      <c r="U209" s="15">
        <v>-2.0</v>
      </c>
      <c r="V209" s="15" t="s">
        <v>80</v>
      </c>
      <c r="AO209" s="15">
        <v>21.0</v>
      </c>
      <c r="AP209" s="15" t="s">
        <v>67</v>
      </c>
      <c r="AQ209" s="15" t="s">
        <v>60</v>
      </c>
      <c r="AR209" s="15" t="s">
        <v>61</v>
      </c>
      <c r="AS209" s="15" t="s">
        <v>78</v>
      </c>
      <c r="AT209" s="15" t="s">
        <v>394</v>
      </c>
    </row>
    <row r="210">
      <c r="A210" s="14">
        <v>45069.409141122684</v>
      </c>
      <c r="B210" s="15" t="s">
        <v>53</v>
      </c>
      <c r="C210" s="15" t="s">
        <v>53</v>
      </c>
      <c r="D210" s="15" t="s">
        <v>72</v>
      </c>
      <c r="T210" s="22">
        <v>5.0</v>
      </c>
      <c r="W210" s="15" t="s">
        <v>77</v>
      </c>
      <c r="X210" s="15" t="s">
        <v>53</v>
      </c>
      <c r="Y210" s="15">
        <v>5.0</v>
      </c>
      <c r="Z210" s="15">
        <v>2.0</v>
      </c>
      <c r="AA210" s="15">
        <v>2.0</v>
      </c>
      <c r="AB210" s="15">
        <v>3.0</v>
      </c>
      <c r="AC210" s="15">
        <v>3.0</v>
      </c>
      <c r="AD210" s="15">
        <v>3.0</v>
      </c>
      <c r="AE210" s="15">
        <v>1.0</v>
      </c>
      <c r="AF210" s="15">
        <v>3.0</v>
      </c>
      <c r="AG210" s="15">
        <v>3.0</v>
      </c>
      <c r="AH210" s="15">
        <v>3.0</v>
      </c>
      <c r="AI210" s="15">
        <v>3.0</v>
      </c>
      <c r="AJ210" s="15" t="s">
        <v>64</v>
      </c>
      <c r="AK210" s="15" t="s">
        <v>57</v>
      </c>
      <c r="AL210" s="15" t="s">
        <v>86</v>
      </c>
      <c r="AM210" s="15">
        <v>5.0</v>
      </c>
      <c r="AN210" s="15" t="s">
        <v>72</v>
      </c>
      <c r="AO210" s="15">
        <v>26.0</v>
      </c>
      <c r="AP210" s="15" t="s">
        <v>67</v>
      </c>
      <c r="AQ210" s="15" t="s">
        <v>68</v>
      </c>
      <c r="AR210" s="15" t="s">
        <v>61</v>
      </c>
      <c r="AS210" s="15" t="s">
        <v>78</v>
      </c>
      <c r="AT210" s="15" t="s">
        <v>395</v>
      </c>
    </row>
    <row r="211">
      <c r="A211" s="14">
        <v>45069.4111553588</v>
      </c>
      <c r="B211" s="15" t="s">
        <v>53</v>
      </c>
      <c r="C211" s="15" t="s">
        <v>97</v>
      </c>
      <c r="D211" s="15">
        <v>-5.0</v>
      </c>
      <c r="E211" s="15" t="s">
        <v>53</v>
      </c>
      <c r="F211" s="15">
        <v>1.0</v>
      </c>
      <c r="G211" s="15">
        <v>1.0</v>
      </c>
      <c r="H211" s="15">
        <v>1.0</v>
      </c>
      <c r="I211" s="15">
        <v>4.0</v>
      </c>
      <c r="J211" s="15">
        <v>2.0</v>
      </c>
      <c r="K211" s="15">
        <v>3.0</v>
      </c>
      <c r="L211" s="15">
        <v>1.0</v>
      </c>
      <c r="M211" s="15">
        <v>3.0</v>
      </c>
      <c r="N211" s="15">
        <v>2.0</v>
      </c>
      <c r="O211" s="15">
        <v>2.0</v>
      </c>
      <c r="P211" s="15">
        <v>2.0</v>
      </c>
      <c r="Q211" s="15" t="s">
        <v>101</v>
      </c>
      <c r="R211" s="15" t="s">
        <v>101</v>
      </c>
      <c r="S211" s="15" t="s">
        <v>101</v>
      </c>
      <c r="T211" s="15">
        <v>5.0</v>
      </c>
      <c r="U211" s="15">
        <v>-4.0</v>
      </c>
      <c r="V211" s="15" t="s">
        <v>102</v>
      </c>
      <c r="AO211" s="15">
        <v>22.0</v>
      </c>
      <c r="AP211" s="15" t="s">
        <v>67</v>
      </c>
      <c r="AQ211" s="15" t="s">
        <v>154</v>
      </c>
      <c r="AR211" s="15" t="s">
        <v>61</v>
      </c>
      <c r="AS211" s="15" t="s">
        <v>69</v>
      </c>
      <c r="AT211" s="15" t="s">
        <v>396</v>
      </c>
    </row>
    <row r="212">
      <c r="A212" s="14">
        <v>45069.412515324075</v>
      </c>
      <c r="B212" s="15" t="s">
        <v>53</v>
      </c>
      <c r="C212" s="15" t="s">
        <v>53</v>
      </c>
      <c r="D212" s="15">
        <v>-1.0</v>
      </c>
      <c r="E212" s="15" t="s">
        <v>53</v>
      </c>
      <c r="F212" s="15">
        <v>4.0</v>
      </c>
      <c r="G212" s="15">
        <v>2.0</v>
      </c>
      <c r="H212" s="15">
        <v>3.0</v>
      </c>
      <c r="I212" s="15">
        <v>4.0</v>
      </c>
      <c r="J212" s="15">
        <v>3.0</v>
      </c>
      <c r="K212" s="15">
        <v>4.0</v>
      </c>
      <c r="L212" s="15">
        <v>2.0</v>
      </c>
      <c r="M212" s="15">
        <v>4.0</v>
      </c>
      <c r="N212" s="15">
        <v>4.0</v>
      </c>
      <c r="O212" s="15">
        <v>4.0</v>
      </c>
      <c r="P212" s="15">
        <v>4.0</v>
      </c>
      <c r="Q212" s="15" t="s">
        <v>55</v>
      </c>
      <c r="R212" s="15" t="s">
        <v>64</v>
      </c>
      <c r="S212" s="15" t="s">
        <v>86</v>
      </c>
      <c r="T212" s="15">
        <v>4.0</v>
      </c>
      <c r="U212" s="15" t="s">
        <v>72</v>
      </c>
      <c r="W212" s="15" t="s">
        <v>116</v>
      </c>
      <c r="AO212" s="15">
        <v>24.0</v>
      </c>
      <c r="AP212" s="15" t="s">
        <v>67</v>
      </c>
      <c r="AQ212" s="15" t="s">
        <v>98</v>
      </c>
      <c r="AR212" s="15" t="s">
        <v>61</v>
      </c>
      <c r="AS212" s="15" t="s">
        <v>93</v>
      </c>
      <c r="AT212" s="15" t="s">
        <v>397</v>
      </c>
    </row>
    <row r="213">
      <c r="A213" s="14">
        <v>45069.43176283565</v>
      </c>
      <c r="B213" s="15" t="s">
        <v>53</v>
      </c>
      <c r="C213" s="15" t="s">
        <v>53</v>
      </c>
      <c r="D213" s="15" t="s">
        <v>65</v>
      </c>
      <c r="T213" s="22">
        <v>5.0</v>
      </c>
      <c r="W213" s="15" t="s">
        <v>77</v>
      </c>
      <c r="X213" s="15" t="s">
        <v>53</v>
      </c>
      <c r="Y213" s="15">
        <v>3.0</v>
      </c>
      <c r="Z213" s="15">
        <v>3.0</v>
      </c>
      <c r="AA213" s="15">
        <v>3.0</v>
      </c>
      <c r="AB213" s="15">
        <v>3.0</v>
      </c>
      <c r="AC213" s="15">
        <v>3.0</v>
      </c>
      <c r="AD213" s="15">
        <v>5.0</v>
      </c>
      <c r="AE213" s="15">
        <v>2.0</v>
      </c>
      <c r="AF213" s="15">
        <v>4.0</v>
      </c>
      <c r="AG213" s="15">
        <v>4.0</v>
      </c>
      <c r="AH213" s="15">
        <v>4.0</v>
      </c>
      <c r="AI213" s="15">
        <v>4.0</v>
      </c>
      <c r="AJ213" s="15" t="s">
        <v>64</v>
      </c>
      <c r="AK213" s="15" t="s">
        <v>57</v>
      </c>
      <c r="AL213" s="15" t="s">
        <v>92</v>
      </c>
      <c r="AM213" s="15">
        <v>5.0</v>
      </c>
      <c r="AN213" s="15" t="s">
        <v>65</v>
      </c>
      <c r="AO213" s="15">
        <v>21.0</v>
      </c>
      <c r="AP213" s="15" t="s">
        <v>67</v>
      </c>
      <c r="AQ213" s="15" t="s">
        <v>98</v>
      </c>
      <c r="AR213" s="15" t="s">
        <v>61</v>
      </c>
      <c r="AS213" s="15" t="s">
        <v>78</v>
      </c>
      <c r="AT213" s="15" t="s">
        <v>398</v>
      </c>
    </row>
    <row r="214">
      <c r="A214" s="14">
        <v>45069.47416810185</v>
      </c>
      <c r="B214" s="15" t="s">
        <v>53</v>
      </c>
      <c r="C214" s="15" t="s">
        <v>53</v>
      </c>
      <c r="D214" s="15" t="s">
        <v>54</v>
      </c>
      <c r="T214" s="22">
        <v>4.0</v>
      </c>
      <c r="W214" s="15" t="s">
        <v>77</v>
      </c>
      <c r="X214" s="15" t="s">
        <v>53</v>
      </c>
      <c r="Y214" s="15">
        <v>4.0</v>
      </c>
      <c r="Z214" s="15">
        <v>4.0</v>
      </c>
      <c r="AA214" s="15">
        <v>3.0</v>
      </c>
      <c r="AB214" s="15">
        <v>4.0</v>
      </c>
      <c r="AC214" s="15">
        <v>3.0</v>
      </c>
      <c r="AD214" s="15">
        <v>4.0</v>
      </c>
      <c r="AE214" s="15">
        <v>2.0</v>
      </c>
      <c r="AF214" s="15">
        <v>4.0</v>
      </c>
      <c r="AG214" s="15">
        <v>4.0</v>
      </c>
      <c r="AH214" s="15">
        <v>4.0</v>
      </c>
      <c r="AI214" s="15">
        <v>4.0</v>
      </c>
      <c r="AJ214" s="15" t="s">
        <v>55</v>
      </c>
      <c r="AK214" s="15" t="s">
        <v>56</v>
      </c>
      <c r="AL214" s="15" t="s">
        <v>64</v>
      </c>
      <c r="AM214" s="15">
        <v>4.0</v>
      </c>
      <c r="AN214" s="15" t="s">
        <v>54</v>
      </c>
      <c r="AO214" s="15">
        <v>19.0</v>
      </c>
      <c r="AP214" s="15" t="s">
        <v>67</v>
      </c>
      <c r="AQ214" s="15" t="s">
        <v>68</v>
      </c>
      <c r="AR214" s="15" t="s">
        <v>61</v>
      </c>
      <c r="AS214" s="15" t="s">
        <v>78</v>
      </c>
      <c r="AT214" s="15" t="s">
        <v>399</v>
      </c>
      <c r="AU214" s="15" t="s">
        <v>400</v>
      </c>
    </row>
    <row r="215">
      <c r="A215" s="14">
        <v>45069.49833729166</v>
      </c>
      <c r="B215" s="15" t="s">
        <v>53</v>
      </c>
      <c r="C215" s="15" t="s">
        <v>97</v>
      </c>
      <c r="D215" s="15">
        <v>-4.0</v>
      </c>
      <c r="E215" s="15" t="s">
        <v>53</v>
      </c>
      <c r="F215" s="15">
        <v>4.0</v>
      </c>
      <c r="G215" s="15">
        <v>3.0</v>
      </c>
      <c r="H215" s="15">
        <v>3.0</v>
      </c>
      <c r="I215" s="15">
        <v>4.0</v>
      </c>
      <c r="J215" s="15">
        <v>2.0</v>
      </c>
      <c r="K215" s="15">
        <v>5.0</v>
      </c>
      <c r="L215" s="15">
        <v>1.0</v>
      </c>
      <c r="M215" s="15">
        <v>1.0</v>
      </c>
      <c r="N215" s="15">
        <v>4.0</v>
      </c>
      <c r="O215" s="15">
        <v>4.0</v>
      </c>
      <c r="P215" s="15">
        <v>3.0</v>
      </c>
      <c r="Q215" s="15" t="s">
        <v>64</v>
      </c>
      <c r="R215" s="15" t="s">
        <v>57</v>
      </c>
      <c r="S215" s="15" t="s">
        <v>86</v>
      </c>
      <c r="T215" s="15">
        <v>2.0</v>
      </c>
      <c r="U215" s="15">
        <v>-4.0</v>
      </c>
      <c r="V215" s="15" t="s">
        <v>102</v>
      </c>
      <c r="AO215" s="15">
        <v>19.0</v>
      </c>
      <c r="AP215" s="15" t="s">
        <v>67</v>
      </c>
      <c r="AQ215" s="15" t="s">
        <v>60</v>
      </c>
      <c r="AR215" s="15" t="s">
        <v>109</v>
      </c>
      <c r="AS215" s="15" t="s">
        <v>93</v>
      </c>
      <c r="AT215" s="15" t="s">
        <v>401</v>
      </c>
    </row>
    <row r="216">
      <c r="A216" s="14">
        <v>45069.51226584491</v>
      </c>
      <c r="B216" s="15" t="s">
        <v>53</v>
      </c>
      <c r="C216" s="15" t="s">
        <v>53</v>
      </c>
      <c r="D216" s="15" t="s">
        <v>54</v>
      </c>
      <c r="T216" s="22">
        <v>4.0</v>
      </c>
      <c r="W216" s="15" t="s">
        <v>77</v>
      </c>
      <c r="X216" s="15" t="s">
        <v>53</v>
      </c>
      <c r="Y216" s="15">
        <v>5.0</v>
      </c>
      <c r="Z216" s="15">
        <v>1.0</v>
      </c>
      <c r="AA216" s="15">
        <v>1.0</v>
      </c>
      <c r="AB216" s="15">
        <v>5.0</v>
      </c>
      <c r="AC216" s="15">
        <v>3.0</v>
      </c>
      <c r="AD216" s="15">
        <v>4.0</v>
      </c>
      <c r="AE216" s="15">
        <v>1.0</v>
      </c>
      <c r="AF216" s="15">
        <v>3.0</v>
      </c>
      <c r="AG216" s="15">
        <v>3.0</v>
      </c>
      <c r="AH216" s="15">
        <v>3.0</v>
      </c>
      <c r="AI216" s="15">
        <v>3.0</v>
      </c>
      <c r="AJ216" s="15" t="s">
        <v>64</v>
      </c>
      <c r="AK216" s="15" t="s">
        <v>86</v>
      </c>
      <c r="AL216" s="15" t="s">
        <v>92</v>
      </c>
      <c r="AM216" s="15">
        <v>4.0</v>
      </c>
      <c r="AN216" s="15" t="s">
        <v>85</v>
      </c>
      <c r="AO216" s="15">
        <v>21.0</v>
      </c>
      <c r="AP216" s="15" t="s">
        <v>67</v>
      </c>
      <c r="AQ216" s="15" t="s">
        <v>402</v>
      </c>
      <c r="AR216" s="15" t="s">
        <v>61</v>
      </c>
      <c r="AS216" s="15" t="s">
        <v>403</v>
      </c>
      <c r="AT216" s="15" t="s">
        <v>404</v>
      </c>
      <c r="AU216" s="15" t="s">
        <v>268</v>
      </c>
    </row>
    <row r="217">
      <c r="A217" s="14">
        <v>45069.543010277775</v>
      </c>
      <c r="B217" s="15" t="s">
        <v>53</v>
      </c>
      <c r="C217" s="15" t="s">
        <v>53</v>
      </c>
      <c r="D217" s="15" t="s">
        <v>104</v>
      </c>
      <c r="T217" s="22">
        <v>5.0</v>
      </c>
      <c r="V217" s="15" t="s">
        <v>80</v>
      </c>
      <c r="X217" s="15" t="s">
        <v>53</v>
      </c>
      <c r="Y217" s="15">
        <v>5.0</v>
      </c>
      <c r="Z217" s="15">
        <v>3.0</v>
      </c>
      <c r="AA217" s="15">
        <v>3.0</v>
      </c>
      <c r="AB217" s="15">
        <v>5.0</v>
      </c>
      <c r="AC217" s="15">
        <v>3.0</v>
      </c>
      <c r="AD217" s="15">
        <v>5.0</v>
      </c>
      <c r="AE217" s="15">
        <v>1.0</v>
      </c>
      <c r="AF217" s="15">
        <v>5.0</v>
      </c>
      <c r="AG217" s="15">
        <v>5.0</v>
      </c>
      <c r="AH217" s="15">
        <v>5.0</v>
      </c>
      <c r="AI217" s="15">
        <v>5.0</v>
      </c>
      <c r="AJ217" s="15" t="s">
        <v>64</v>
      </c>
      <c r="AK217" s="15" t="s">
        <v>55</v>
      </c>
      <c r="AL217" s="15" t="s">
        <v>83</v>
      </c>
      <c r="AM217" s="15">
        <v>5.0</v>
      </c>
      <c r="AN217" s="15">
        <v>-5.0</v>
      </c>
      <c r="AO217" s="15">
        <v>22.0</v>
      </c>
      <c r="AP217" s="15" t="s">
        <v>67</v>
      </c>
      <c r="AQ217" s="15" t="s">
        <v>68</v>
      </c>
      <c r="AR217" s="15" t="s">
        <v>61</v>
      </c>
      <c r="AS217" s="15" t="s">
        <v>78</v>
      </c>
      <c r="AT217" s="15" t="s">
        <v>405</v>
      </c>
    </row>
    <row r="218">
      <c r="A218" s="14">
        <v>45069.55513962963</v>
      </c>
      <c r="B218" s="15" t="s">
        <v>53</v>
      </c>
      <c r="C218" s="15" t="s">
        <v>53</v>
      </c>
      <c r="D218" s="15" t="s">
        <v>54</v>
      </c>
      <c r="T218" s="22">
        <v>4.0</v>
      </c>
      <c r="W218" s="15" t="s">
        <v>77</v>
      </c>
      <c r="X218" s="15" t="s">
        <v>53</v>
      </c>
      <c r="Y218" s="15">
        <v>3.0</v>
      </c>
      <c r="Z218" s="15">
        <v>1.0</v>
      </c>
      <c r="AA218" s="15">
        <v>2.0</v>
      </c>
      <c r="AB218" s="15">
        <v>4.0</v>
      </c>
      <c r="AC218" s="15">
        <v>4.0</v>
      </c>
      <c r="AD218" s="15">
        <v>4.0</v>
      </c>
      <c r="AE218" s="15">
        <v>1.0</v>
      </c>
      <c r="AF218" s="15">
        <v>3.0</v>
      </c>
      <c r="AG218" s="15">
        <v>5.0</v>
      </c>
      <c r="AH218" s="15">
        <v>5.0</v>
      </c>
      <c r="AI218" s="15">
        <v>5.0</v>
      </c>
      <c r="AJ218" s="15" t="s">
        <v>55</v>
      </c>
      <c r="AK218" s="15" t="s">
        <v>64</v>
      </c>
      <c r="AL218" s="15" t="s">
        <v>57</v>
      </c>
      <c r="AM218" s="15">
        <v>4.0</v>
      </c>
      <c r="AN218" s="15" t="s">
        <v>54</v>
      </c>
      <c r="AO218" s="15">
        <v>18.0</v>
      </c>
      <c r="AP218" s="15" t="s">
        <v>67</v>
      </c>
      <c r="AQ218" s="15" t="s">
        <v>60</v>
      </c>
      <c r="AR218" s="15" t="s">
        <v>109</v>
      </c>
      <c r="AS218" s="15" t="s">
        <v>78</v>
      </c>
      <c r="AT218" s="15" t="s">
        <v>406</v>
      </c>
    </row>
    <row r="219">
      <c r="A219" s="14">
        <v>45069.58638451389</v>
      </c>
      <c r="B219" s="15" t="s">
        <v>97</v>
      </c>
    </row>
    <row r="220">
      <c r="A220" s="14">
        <v>45069.601808125</v>
      </c>
      <c r="B220" s="15" t="s">
        <v>53</v>
      </c>
      <c r="C220" s="15" t="s">
        <v>53</v>
      </c>
      <c r="D220" s="15" t="s">
        <v>85</v>
      </c>
      <c r="T220" s="22">
        <v>4.0</v>
      </c>
      <c r="W220" s="15" t="s">
        <v>73</v>
      </c>
      <c r="X220" s="15" t="s">
        <v>53</v>
      </c>
      <c r="Y220" s="15">
        <v>5.0</v>
      </c>
      <c r="Z220" s="15">
        <v>1.0</v>
      </c>
      <c r="AA220" s="15">
        <v>1.0</v>
      </c>
      <c r="AB220" s="15">
        <v>4.0</v>
      </c>
      <c r="AC220" s="15">
        <v>2.0</v>
      </c>
      <c r="AD220" s="15">
        <v>1.0</v>
      </c>
      <c r="AE220" s="15">
        <v>3.0</v>
      </c>
      <c r="AF220" s="15">
        <v>3.0</v>
      </c>
      <c r="AG220" s="15">
        <v>1.0</v>
      </c>
      <c r="AH220" s="15">
        <v>1.0</v>
      </c>
      <c r="AI220" s="15">
        <v>1.0</v>
      </c>
      <c r="AJ220" s="15" t="s">
        <v>83</v>
      </c>
      <c r="AK220" s="15" t="s">
        <v>56</v>
      </c>
      <c r="AL220" s="15" t="s">
        <v>55</v>
      </c>
      <c r="AM220" s="15">
        <v>4.0</v>
      </c>
      <c r="AN220" s="15" t="s">
        <v>65</v>
      </c>
      <c r="AO220" s="15">
        <v>20.0</v>
      </c>
      <c r="AP220" s="15" t="s">
        <v>67</v>
      </c>
      <c r="AQ220" s="15" t="s">
        <v>120</v>
      </c>
      <c r="AR220" s="15" t="s">
        <v>61</v>
      </c>
      <c r="AS220" s="15" t="s">
        <v>69</v>
      </c>
      <c r="AT220" s="15" t="s">
        <v>512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3" max="3" width="18.25"/>
    <col customWidth="1" min="4" max="4" width="14.38"/>
    <col customWidth="1" min="39" max="40" width="23.38"/>
    <col customWidth="1" min="41" max="41" width="26.0"/>
    <col customWidth="1" min="46" max="46" width="24.0"/>
  </cols>
  <sheetData>
    <row r="1">
      <c r="A1" s="83"/>
      <c r="B1" s="83"/>
      <c r="C1" s="84" t="s">
        <v>0</v>
      </c>
      <c r="D1" s="84" t="s">
        <v>1</v>
      </c>
      <c r="E1" s="84" t="s">
        <v>2</v>
      </c>
      <c r="F1" s="84" t="s">
        <v>3</v>
      </c>
      <c r="G1" s="84" t="s">
        <v>4</v>
      </c>
      <c r="H1" s="84" t="s">
        <v>5</v>
      </c>
      <c r="I1" s="84" t="s">
        <v>6</v>
      </c>
      <c r="J1" s="84" t="s">
        <v>7</v>
      </c>
      <c r="K1" s="85" t="s">
        <v>8</v>
      </c>
      <c r="L1" s="85" t="s">
        <v>9</v>
      </c>
      <c r="M1" s="85" t="s">
        <v>10</v>
      </c>
      <c r="N1" s="85" t="s">
        <v>11</v>
      </c>
      <c r="O1" s="85" t="s">
        <v>12</v>
      </c>
      <c r="P1" s="85" t="s">
        <v>13</v>
      </c>
      <c r="Q1" s="84" t="s">
        <v>14</v>
      </c>
      <c r="T1" s="84" t="s">
        <v>15</v>
      </c>
      <c r="U1" s="86" t="s">
        <v>16</v>
      </c>
      <c r="V1" s="84" t="s">
        <v>17</v>
      </c>
      <c r="W1" s="84" t="s">
        <v>17</v>
      </c>
      <c r="X1" s="84" t="s">
        <v>2</v>
      </c>
      <c r="Y1" s="84" t="s">
        <v>3</v>
      </c>
      <c r="Z1" s="84" t="s">
        <v>4</v>
      </c>
      <c r="AA1" s="84" t="s">
        <v>5</v>
      </c>
      <c r="AB1" s="84" t="s">
        <v>6</v>
      </c>
      <c r="AC1" s="84" t="s">
        <v>7</v>
      </c>
      <c r="AD1" s="84" t="s">
        <v>8</v>
      </c>
      <c r="AE1" s="84" t="s">
        <v>9</v>
      </c>
      <c r="AF1" s="84" t="s">
        <v>10</v>
      </c>
      <c r="AG1" s="84" t="s">
        <v>11</v>
      </c>
      <c r="AH1" s="84" t="s">
        <v>12</v>
      </c>
      <c r="AI1" s="84" t="s">
        <v>13</v>
      </c>
      <c r="AJ1" s="83"/>
      <c r="AK1" s="83"/>
      <c r="AL1" s="83"/>
      <c r="AM1" s="84" t="s">
        <v>15</v>
      </c>
      <c r="AN1" s="87" t="s">
        <v>16</v>
      </c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</row>
    <row r="2">
      <c r="A2" s="88" t="s">
        <v>18</v>
      </c>
      <c r="B2" s="88" t="s">
        <v>19</v>
      </c>
      <c r="C2" s="88" t="s">
        <v>477</v>
      </c>
      <c r="D2" s="89" t="s">
        <v>422</v>
      </c>
      <c r="E2" s="88" t="s">
        <v>478</v>
      </c>
      <c r="F2" s="88" t="s">
        <v>479</v>
      </c>
      <c r="G2" s="88" t="s">
        <v>480</v>
      </c>
      <c r="H2" s="88" t="s">
        <v>481</v>
      </c>
      <c r="I2" s="88" t="s">
        <v>482</v>
      </c>
      <c r="J2" s="88" t="s">
        <v>483</v>
      </c>
      <c r="K2" s="88" t="s">
        <v>484</v>
      </c>
      <c r="L2" s="88" t="s">
        <v>485</v>
      </c>
      <c r="M2" s="88" t="s">
        <v>486</v>
      </c>
      <c r="N2" s="88" t="s">
        <v>513</v>
      </c>
      <c r="O2" s="88" t="s">
        <v>488</v>
      </c>
      <c r="P2" s="88" t="s">
        <v>514</v>
      </c>
      <c r="Q2" s="88" t="s">
        <v>34</v>
      </c>
      <c r="R2" s="88" t="s">
        <v>35</v>
      </c>
      <c r="S2" s="88" t="s">
        <v>36</v>
      </c>
      <c r="T2" s="88" t="s">
        <v>490</v>
      </c>
      <c r="U2" s="90" t="s">
        <v>491</v>
      </c>
      <c r="V2" s="88" t="s">
        <v>515</v>
      </c>
      <c r="W2" s="88" t="s">
        <v>515</v>
      </c>
      <c r="X2" s="88" t="s">
        <v>478</v>
      </c>
      <c r="Y2" s="88" t="s">
        <v>494</v>
      </c>
      <c r="Z2" s="88" t="s">
        <v>480</v>
      </c>
      <c r="AA2" s="88" t="s">
        <v>495</v>
      </c>
      <c r="AB2" s="88" t="s">
        <v>496</v>
      </c>
      <c r="AC2" s="88" t="s">
        <v>497</v>
      </c>
      <c r="AD2" s="88" t="s">
        <v>484</v>
      </c>
      <c r="AE2" s="88" t="s">
        <v>485</v>
      </c>
      <c r="AF2" s="88" t="s">
        <v>486</v>
      </c>
      <c r="AG2" s="88" t="s">
        <v>513</v>
      </c>
      <c r="AH2" s="88" t="s">
        <v>488</v>
      </c>
      <c r="AI2" s="88" t="s">
        <v>514</v>
      </c>
      <c r="AJ2" s="88" t="s">
        <v>43</v>
      </c>
      <c r="AK2" s="88" t="s">
        <v>35</v>
      </c>
      <c r="AL2" s="88" t="s">
        <v>36</v>
      </c>
      <c r="AM2" s="88" t="s">
        <v>490</v>
      </c>
      <c r="AN2" s="91" t="s">
        <v>491</v>
      </c>
      <c r="AO2" s="88" t="s">
        <v>46</v>
      </c>
      <c r="AP2" s="88" t="s">
        <v>47</v>
      </c>
      <c r="AQ2" s="88" t="s">
        <v>48</v>
      </c>
      <c r="AR2" s="88" t="s">
        <v>49</v>
      </c>
      <c r="AS2" s="88" t="s">
        <v>50</v>
      </c>
      <c r="AT2" s="89" t="s">
        <v>516</v>
      </c>
      <c r="AU2" s="92" t="s">
        <v>52</v>
      </c>
      <c r="AV2" s="88"/>
      <c r="AW2" s="88"/>
      <c r="AX2" s="88"/>
      <c r="AY2" s="88"/>
      <c r="AZ2" s="88"/>
      <c r="BA2" s="88"/>
    </row>
    <row r="3">
      <c r="A3" s="93">
        <v>45068.89514305556</v>
      </c>
      <c r="B3" s="94" t="s">
        <v>53</v>
      </c>
      <c r="C3" s="94" t="s">
        <v>53</v>
      </c>
      <c r="D3" s="94" t="s">
        <v>72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6">
        <v>3.0</v>
      </c>
      <c r="U3" s="95"/>
      <c r="V3" s="94" t="s">
        <v>80</v>
      </c>
      <c r="W3" s="95"/>
      <c r="X3" s="94" t="s">
        <v>53</v>
      </c>
      <c r="Y3" s="94">
        <v>1.0</v>
      </c>
      <c r="Z3" s="94">
        <v>5.0</v>
      </c>
      <c r="AA3" s="94">
        <v>5.0</v>
      </c>
      <c r="AB3" s="94">
        <v>5.0</v>
      </c>
      <c r="AC3" s="94">
        <v>1.0</v>
      </c>
      <c r="AD3" s="94">
        <v>2.0</v>
      </c>
      <c r="AE3" s="94">
        <v>4.0</v>
      </c>
      <c r="AF3" s="94">
        <v>1.0</v>
      </c>
      <c r="AG3" s="94">
        <v>1.0</v>
      </c>
      <c r="AH3" s="94">
        <v>1.0</v>
      </c>
      <c r="AI3" s="94">
        <v>1.0</v>
      </c>
      <c r="AJ3" s="94" t="s">
        <v>57</v>
      </c>
      <c r="AK3" s="94" t="s">
        <v>64</v>
      </c>
      <c r="AL3" s="94" t="s">
        <v>55</v>
      </c>
      <c r="AM3" s="94">
        <v>3.0</v>
      </c>
      <c r="AN3" s="94">
        <v>-2.0</v>
      </c>
      <c r="AO3" s="94">
        <v>21.0</v>
      </c>
      <c r="AP3" s="94" t="s">
        <v>59</v>
      </c>
      <c r="AQ3" s="94" t="s">
        <v>120</v>
      </c>
      <c r="AR3" s="94" t="s">
        <v>61</v>
      </c>
      <c r="AS3" s="94" t="s">
        <v>335</v>
      </c>
      <c r="AT3" s="94" t="s">
        <v>500</v>
      </c>
      <c r="AU3" s="94" t="s">
        <v>257</v>
      </c>
      <c r="AV3" s="95"/>
      <c r="AW3" s="95"/>
      <c r="AX3" s="95"/>
      <c r="AY3" s="95"/>
      <c r="AZ3" s="95"/>
      <c r="BA3" s="95"/>
    </row>
    <row r="4">
      <c r="A4" s="93">
        <v>45068.89607869213</v>
      </c>
      <c r="B4" s="94" t="s">
        <v>53</v>
      </c>
      <c r="C4" s="94" t="s">
        <v>53</v>
      </c>
      <c r="D4" s="94" t="s">
        <v>104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>
        <v>2.0</v>
      </c>
      <c r="U4" s="95"/>
      <c r="V4" s="95"/>
      <c r="W4" s="94" t="s">
        <v>77</v>
      </c>
      <c r="X4" s="94" t="s">
        <v>53</v>
      </c>
      <c r="Y4" s="94">
        <v>2.0</v>
      </c>
      <c r="Z4" s="94">
        <v>4.0</v>
      </c>
      <c r="AA4" s="94">
        <v>4.0</v>
      </c>
      <c r="AB4" s="94">
        <v>4.0</v>
      </c>
      <c r="AC4" s="94">
        <v>3.0</v>
      </c>
      <c r="AD4" s="94">
        <v>4.0</v>
      </c>
      <c r="AE4" s="94">
        <v>4.0</v>
      </c>
      <c r="AF4" s="94">
        <v>4.0</v>
      </c>
      <c r="AG4" s="94">
        <v>4.0</v>
      </c>
      <c r="AH4" s="94">
        <v>4.0</v>
      </c>
      <c r="AI4" s="94">
        <v>4.0</v>
      </c>
      <c r="AJ4" s="94" t="s">
        <v>55</v>
      </c>
      <c r="AK4" s="94" t="s">
        <v>64</v>
      </c>
      <c r="AL4" s="94" t="s">
        <v>56</v>
      </c>
      <c r="AM4" s="94">
        <v>2.0</v>
      </c>
      <c r="AN4" s="94" t="s">
        <v>54</v>
      </c>
      <c r="AO4" s="94">
        <v>19.0</v>
      </c>
      <c r="AP4" s="94" t="s">
        <v>59</v>
      </c>
      <c r="AQ4" s="94" t="s">
        <v>120</v>
      </c>
      <c r="AR4" s="94" t="s">
        <v>61</v>
      </c>
      <c r="AS4" s="94" t="s">
        <v>337</v>
      </c>
      <c r="AT4" s="94" t="s">
        <v>501</v>
      </c>
      <c r="AU4" s="95"/>
      <c r="AV4" s="95"/>
      <c r="AW4" s="95"/>
      <c r="AX4" s="95"/>
      <c r="AY4" s="95"/>
      <c r="AZ4" s="95"/>
      <c r="BA4" s="95"/>
    </row>
    <row r="5">
      <c r="A5" s="93">
        <v>45068.896941643514</v>
      </c>
      <c r="B5" s="94" t="s">
        <v>53</v>
      </c>
      <c r="C5" s="94" t="s">
        <v>53</v>
      </c>
      <c r="D5" s="94">
        <v>-5.0</v>
      </c>
      <c r="E5" s="94" t="s">
        <v>53</v>
      </c>
      <c r="F5" s="94">
        <v>1.0</v>
      </c>
      <c r="G5" s="94">
        <v>5.0</v>
      </c>
      <c r="H5" s="94">
        <v>5.0</v>
      </c>
      <c r="I5" s="94">
        <v>5.0</v>
      </c>
      <c r="J5" s="94">
        <v>1.0</v>
      </c>
      <c r="K5" s="94">
        <v>1.0</v>
      </c>
      <c r="L5" s="94">
        <v>5.0</v>
      </c>
      <c r="M5" s="94">
        <v>1.0</v>
      </c>
      <c r="N5" s="94">
        <v>1.0</v>
      </c>
      <c r="O5" s="94">
        <v>1.0</v>
      </c>
      <c r="P5" s="94">
        <v>1.0</v>
      </c>
      <c r="Q5" s="94" t="s">
        <v>55</v>
      </c>
      <c r="R5" s="94" t="s">
        <v>92</v>
      </c>
      <c r="S5" s="94" t="s">
        <v>86</v>
      </c>
      <c r="T5" s="94">
        <v>5.0</v>
      </c>
      <c r="U5" s="94">
        <v>-5.0</v>
      </c>
      <c r="V5" s="94" t="s">
        <v>80</v>
      </c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4">
        <v>21.0</v>
      </c>
      <c r="AP5" s="94" t="s">
        <v>59</v>
      </c>
      <c r="AQ5" s="94" t="s">
        <v>502</v>
      </c>
      <c r="AR5" s="94" t="s">
        <v>61</v>
      </c>
      <c r="AS5" s="94" t="s">
        <v>69</v>
      </c>
      <c r="AT5" s="94" t="s">
        <v>503</v>
      </c>
      <c r="AU5" s="95"/>
      <c r="AV5" s="95"/>
      <c r="AW5" s="95"/>
      <c r="AX5" s="95"/>
      <c r="AY5" s="95"/>
      <c r="AZ5" s="95"/>
      <c r="BA5" s="95"/>
    </row>
    <row r="6">
      <c r="A6" s="14">
        <v>45068.897872245376</v>
      </c>
      <c r="B6" s="15" t="s">
        <v>53</v>
      </c>
      <c r="C6" s="15" t="s">
        <v>53</v>
      </c>
      <c r="D6" s="15">
        <v>-5.0</v>
      </c>
      <c r="E6" s="15" t="s">
        <v>53</v>
      </c>
      <c r="F6" s="15">
        <v>1.0</v>
      </c>
      <c r="G6" s="15">
        <v>5.0</v>
      </c>
      <c r="H6" s="15">
        <v>5.0</v>
      </c>
      <c r="I6" s="15">
        <v>5.0</v>
      </c>
      <c r="J6" s="15">
        <v>1.0</v>
      </c>
      <c r="K6" s="15">
        <v>4.0</v>
      </c>
      <c r="L6" s="15">
        <v>1.0</v>
      </c>
      <c r="M6" s="15">
        <v>4.0</v>
      </c>
      <c r="N6" s="15">
        <v>4.0</v>
      </c>
      <c r="O6" s="15">
        <v>4.0</v>
      </c>
      <c r="P6" s="15">
        <v>5.0</v>
      </c>
      <c r="Q6" s="15" t="s">
        <v>55</v>
      </c>
      <c r="R6" s="15" t="s">
        <v>57</v>
      </c>
      <c r="S6" s="15" t="s">
        <v>64</v>
      </c>
      <c r="T6" s="15">
        <v>5.0</v>
      </c>
      <c r="U6" s="15" t="s">
        <v>72</v>
      </c>
      <c r="W6" s="15" t="s">
        <v>77</v>
      </c>
      <c r="AO6" s="15">
        <v>18.0</v>
      </c>
      <c r="AP6" s="15" t="s">
        <v>59</v>
      </c>
      <c r="AQ6" s="15" t="s">
        <v>504</v>
      </c>
      <c r="AR6" s="15" t="s">
        <v>61</v>
      </c>
      <c r="AS6" s="15" t="s">
        <v>69</v>
      </c>
      <c r="AT6" s="15" t="s">
        <v>505</v>
      </c>
    </row>
    <row r="10">
      <c r="A10" s="97">
        <v>45068.521538773144</v>
      </c>
      <c r="B10" s="98" t="s">
        <v>53</v>
      </c>
      <c r="C10" s="98" t="s">
        <v>53</v>
      </c>
      <c r="D10" s="22">
        <v>-3.0</v>
      </c>
      <c r="E10" s="98" t="s">
        <v>53</v>
      </c>
      <c r="F10" s="22">
        <v>1.0</v>
      </c>
      <c r="G10" s="22">
        <v>3.0</v>
      </c>
      <c r="H10" s="22">
        <v>4.0</v>
      </c>
      <c r="I10" s="22">
        <v>3.0</v>
      </c>
      <c r="J10" s="22">
        <v>1.0</v>
      </c>
      <c r="K10" s="22">
        <v>4.0</v>
      </c>
      <c r="L10" s="22">
        <v>1.0</v>
      </c>
      <c r="M10" s="22">
        <v>4.0</v>
      </c>
      <c r="N10" s="22">
        <v>4.0</v>
      </c>
      <c r="O10" s="22">
        <v>4.0</v>
      </c>
      <c r="P10" s="22">
        <v>3.0</v>
      </c>
      <c r="Q10" s="98" t="s">
        <v>64</v>
      </c>
      <c r="R10" s="98" t="s">
        <v>55</v>
      </c>
      <c r="S10" s="98" t="s">
        <v>56</v>
      </c>
      <c r="T10" s="22">
        <v>4.0</v>
      </c>
      <c r="U10" s="99">
        <v>-4.0</v>
      </c>
      <c r="V10" s="100" t="s">
        <v>325</v>
      </c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 t="s">
        <v>164</v>
      </c>
      <c r="AP10" s="98" t="s">
        <v>59</v>
      </c>
      <c r="AQ10" s="98" t="s">
        <v>162</v>
      </c>
      <c r="AR10" s="98" t="s">
        <v>109</v>
      </c>
      <c r="AS10" s="98" t="s">
        <v>69</v>
      </c>
      <c r="AT10" s="98" t="s">
        <v>517</v>
      </c>
      <c r="AU10" s="100" t="s">
        <v>518</v>
      </c>
      <c r="AV10" s="98"/>
      <c r="AW10" s="98"/>
      <c r="AX10" s="98"/>
      <c r="AY10" s="98"/>
      <c r="AZ10" s="98"/>
      <c r="BA10" s="98"/>
    </row>
    <row r="16">
      <c r="AM16" s="94" t="s">
        <v>519</v>
      </c>
      <c r="AN16" s="89" t="s">
        <v>520</v>
      </c>
      <c r="AO16" s="101" t="s">
        <v>521</v>
      </c>
      <c r="AP16" s="101" t="s">
        <v>522</v>
      </c>
      <c r="AQ16" s="101" t="s">
        <v>523</v>
      </c>
      <c r="AR16" s="101" t="s">
        <v>524</v>
      </c>
      <c r="AS16" s="101" t="s">
        <v>525</v>
      </c>
      <c r="AT16" s="101" t="s">
        <v>516</v>
      </c>
    </row>
    <row r="17">
      <c r="AM17" s="93">
        <v>45068.89514305556</v>
      </c>
      <c r="AN17" s="94" t="s">
        <v>53</v>
      </c>
      <c r="AO17" s="94" t="s">
        <v>72</v>
      </c>
      <c r="AP17" s="94">
        <v>1.0</v>
      </c>
      <c r="AQ17" s="94">
        <v>5.0</v>
      </c>
      <c r="AR17" s="94">
        <v>5.0</v>
      </c>
      <c r="AS17" s="94">
        <v>5.0</v>
      </c>
      <c r="AT17" s="94" t="s">
        <v>500</v>
      </c>
    </row>
    <row r="18">
      <c r="AM18" s="93">
        <v>45068.89607869213</v>
      </c>
      <c r="AN18" s="94" t="s">
        <v>53</v>
      </c>
      <c r="AO18" s="94" t="s">
        <v>104</v>
      </c>
      <c r="AP18" s="94">
        <v>2.0</v>
      </c>
      <c r="AQ18" s="94">
        <v>4.0</v>
      </c>
      <c r="AR18" s="94">
        <v>4.0</v>
      </c>
      <c r="AS18" s="94">
        <v>4.0</v>
      </c>
      <c r="AT18" s="94" t="s">
        <v>501</v>
      </c>
    </row>
    <row r="19">
      <c r="AM19" s="93">
        <v>45068.896941643514</v>
      </c>
      <c r="AN19" s="94" t="s">
        <v>53</v>
      </c>
      <c r="AO19" s="94">
        <v>-5.0</v>
      </c>
      <c r="AP19" s="94">
        <v>1.0</v>
      </c>
      <c r="AQ19" s="94">
        <v>5.0</v>
      </c>
      <c r="AR19" s="94">
        <v>5.0</v>
      </c>
      <c r="AS19" s="94">
        <v>5.0</v>
      </c>
      <c r="AT19" s="94" t="s">
        <v>503</v>
      </c>
    </row>
    <row r="20">
      <c r="AM20" s="14">
        <v>45068.897872245376</v>
      </c>
      <c r="AN20" s="15" t="s">
        <v>53</v>
      </c>
      <c r="AO20" s="15">
        <v>-5.0</v>
      </c>
      <c r="AP20" s="15">
        <v>1.0</v>
      </c>
      <c r="AQ20" s="15">
        <v>5.0</v>
      </c>
      <c r="AR20" s="15">
        <v>5.0</v>
      </c>
      <c r="AS20" s="15">
        <v>5.0</v>
      </c>
      <c r="AT20" s="15" t="s">
        <v>505</v>
      </c>
    </row>
    <row r="23">
      <c r="AM23" s="89" t="s">
        <v>526</v>
      </c>
      <c r="AN23" s="88" t="s">
        <v>47</v>
      </c>
      <c r="AO23" s="88" t="s">
        <v>48</v>
      </c>
      <c r="AP23" s="89" t="s">
        <v>516</v>
      </c>
      <c r="AQ23" s="88"/>
    </row>
    <row r="24">
      <c r="AM24" s="98" t="s">
        <v>164</v>
      </c>
      <c r="AN24" s="98" t="s">
        <v>59</v>
      </c>
      <c r="AO24" s="98" t="s">
        <v>162</v>
      </c>
      <c r="AP24" s="98" t="s">
        <v>517</v>
      </c>
      <c r="AQ24" s="98"/>
    </row>
  </sheetData>
  <mergeCells count="1">
    <mergeCell ref="Q1:S1"/>
  </mergeCells>
  <drawing r:id="rId1"/>
</worksheet>
</file>